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onan\code\Invest\real_estate_roi\"/>
    </mc:Choice>
  </mc:AlternateContent>
  <xr:revisionPtr revIDLastSave="0" documentId="13_ncr:1_{8210813D-889B-430B-BB6F-28325FBBDCC7}" xr6:coauthVersionLast="47" xr6:coauthVersionMax="47" xr10:uidLastSave="{00000000-0000-0000-0000-000000000000}"/>
  <bookViews>
    <workbookView xWindow="-10845" yWindow="8040" windowWidth="21795" windowHeight="12975" firstSheet="2" activeTab="7" xr2:uid="{82EA677A-568B-47B4-8E28-A278992804B1}"/>
  </bookViews>
  <sheets>
    <sheet name="Location" sheetId="1" r:id="rId1"/>
    <sheet name="Achat_1" sheetId="2" r:id="rId2"/>
    <sheet name="Achat_2" sheetId="3" r:id="rId3"/>
    <sheet name="Location_1_v2" sheetId="5" r:id="rId4"/>
    <sheet name="Achat_1_v2" sheetId="4" r:id="rId5"/>
    <sheet name="Achat_1_v2_20yrs" sheetId="6" r:id="rId6"/>
    <sheet name="Location_2_v2" sheetId="8" r:id="rId7"/>
    <sheet name="Achat_2_v2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2" i="8" l="1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T96" i="8" s="1"/>
  <c r="T97" i="8" s="1"/>
  <c r="T98" i="8" s="1"/>
  <c r="T99" i="8" s="1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T111" i="8" s="1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T122" i="5"/>
  <c r="S5" i="5"/>
  <c r="S6" i="5"/>
  <c r="S7" i="5"/>
  <c r="S8" i="5"/>
  <c r="S9" i="5"/>
  <c r="S10" i="5"/>
  <c r="S11" i="5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3" i="5"/>
  <c r="S4" i="5"/>
  <c r="F130" i="8"/>
  <c r="F131" i="8" s="1"/>
  <c r="D32" i="8"/>
  <c r="G26" i="8"/>
  <c r="G38" i="8" s="1"/>
  <c r="G50" i="8" s="1"/>
  <c r="G62" i="8" s="1"/>
  <c r="G74" i="8" s="1"/>
  <c r="G86" i="8" s="1"/>
  <c r="G98" i="8" s="1"/>
  <c r="G110" i="8" s="1"/>
  <c r="G122" i="8" s="1"/>
  <c r="F26" i="8"/>
  <c r="W26" i="8" s="1"/>
  <c r="G25" i="8"/>
  <c r="G37" i="8" s="1"/>
  <c r="G49" i="8" s="1"/>
  <c r="G61" i="8" s="1"/>
  <c r="G73" i="8" s="1"/>
  <c r="G85" i="8" s="1"/>
  <c r="G97" i="8" s="1"/>
  <c r="G109" i="8" s="1"/>
  <c r="G121" i="8" s="1"/>
  <c r="F25" i="8"/>
  <c r="W25" i="8" s="1"/>
  <c r="G24" i="8"/>
  <c r="G36" i="8" s="1"/>
  <c r="G48" i="8" s="1"/>
  <c r="G60" i="8" s="1"/>
  <c r="G72" i="8" s="1"/>
  <c r="G84" i="8" s="1"/>
  <c r="G96" i="8" s="1"/>
  <c r="G108" i="8" s="1"/>
  <c r="G120" i="8" s="1"/>
  <c r="F24" i="8"/>
  <c r="R24" i="8" s="1"/>
  <c r="G23" i="8"/>
  <c r="G35" i="8" s="1"/>
  <c r="G47" i="8" s="1"/>
  <c r="G59" i="8" s="1"/>
  <c r="G71" i="8" s="1"/>
  <c r="G83" i="8" s="1"/>
  <c r="G95" i="8" s="1"/>
  <c r="G107" i="8" s="1"/>
  <c r="G119" i="8" s="1"/>
  <c r="F23" i="8"/>
  <c r="W23" i="8" s="1"/>
  <c r="G22" i="8"/>
  <c r="G34" i="8" s="1"/>
  <c r="G46" i="8" s="1"/>
  <c r="G58" i="8" s="1"/>
  <c r="G70" i="8" s="1"/>
  <c r="G82" i="8" s="1"/>
  <c r="G94" i="8" s="1"/>
  <c r="G106" i="8" s="1"/>
  <c r="G118" i="8" s="1"/>
  <c r="F22" i="8"/>
  <c r="W22" i="8" s="1"/>
  <c r="G21" i="8"/>
  <c r="G33" i="8" s="1"/>
  <c r="G45" i="8" s="1"/>
  <c r="G57" i="8" s="1"/>
  <c r="G69" i="8" s="1"/>
  <c r="G81" i="8" s="1"/>
  <c r="G93" i="8" s="1"/>
  <c r="G105" i="8" s="1"/>
  <c r="G117" i="8" s="1"/>
  <c r="F21" i="8"/>
  <c r="R21" i="8" s="1"/>
  <c r="D21" i="8"/>
  <c r="G20" i="8"/>
  <c r="G32" i="8" s="1"/>
  <c r="G44" i="8" s="1"/>
  <c r="G56" i="8" s="1"/>
  <c r="G68" i="8" s="1"/>
  <c r="G80" i="8" s="1"/>
  <c r="G92" i="8" s="1"/>
  <c r="G104" i="8" s="1"/>
  <c r="G116" i="8" s="1"/>
  <c r="F20" i="8"/>
  <c r="W20" i="8" s="1"/>
  <c r="G19" i="8"/>
  <c r="G31" i="8" s="1"/>
  <c r="G43" i="8" s="1"/>
  <c r="G55" i="8" s="1"/>
  <c r="G67" i="8" s="1"/>
  <c r="G79" i="8" s="1"/>
  <c r="G91" i="8" s="1"/>
  <c r="G103" i="8" s="1"/>
  <c r="G115" i="8" s="1"/>
  <c r="F19" i="8"/>
  <c r="W19" i="8" s="1"/>
  <c r="G18" i="8"/>
  <c r="G30" i="8" s="1"/>
  <c r="G42" i="8" s="1"/>
  <c r="G54" i="8" s="1"/>
  <c r="G66" i="8" s="1"/>
  <c r="G78" i="8" s="1"/>
  <c r="G90" i="8" s="1"/>
  <c r="G102" i="8" s="1"/>
  <c r="G114" i="8" s="1"/>
  <c r="F18" i="8"/>
  <c r="R18" i="8" s="1"/>
  <c r="G17" i="8"/>
  <c r="G29" i="8" s="1"/>
  <c r="G41" i="8" s="1"/>
  <c r="G53" i="8" s="1"/>
  <c r="G65" i="8" s="1"/>
  <c r="G77" i="8" s="1"/>
  <c r="G89" i="8" s="1"/>
  <c r="G101" i="8" s="1"/>
  <c r="G113" i="8" s="1"/>
  <c r="F17" i="8"/>
  <c r="W17" i="8" s="1"/>
  <c r="G16" i="8"/>
  <c r="G28" i="8" s="1"/>
  <c r="G40" i="8" s="1"/>
  <c r="G52" i="8" s="1"/>
  <c r="G64" i="8" s="1"/>
  <c r="G76" i="8" s="1"/>
  <c r="G88" i="8" s="1"/>
  <c r="G100" i="8" s="1"/>
  <c r="G112" i="8" s="1"/>
  <c r="F16" i="8"/>
  <c r="W16" i="8" s="1"/>
  <c r="G15" i="8"/>
  <c r="G27" i="8" s="1"/>
  <c r="G39" i="8" s="1"/>
  <c r="G51" i="8" s="1"/>
  <c r="G63" i="8" s="1"/>
  <c r="G75" i="8" s="1"/>
  <c r="G87" i="8" s="1"/>
  <c r="G99" i="8" s="1"/>
  <c r="G111" i="8" s="1"/>
  <c r="F15" i="8"/>
  <c r="W15" i="8" s="1"/>
  <c r="W14" i="8"/>
  <c r="R14" i="8"/>
  <c r="W13" i="8"/>
  <c r="R13" i="8"/>
  <c r="D13" i="8"/>
  <c r="W12" i="8"/>
  <c r="R12" i="8"/>
  <c r="D12" i="8"/>
  <c r="W11" i="8"/>
  <c r="R11" i="8"/>
  <c r="W10" i="8"/>
  <c r="R10" i="8"/>
  <c r="W9" i="8"/>
  <c r="R9" i="8"/>
  <c r="C9" i="8"/>
  <c r="C11" i="8" s="1"/>
  <c r="W8" i="8"/>
  <c r="R8" i="8"/>
  <c r="W7" i="8"/>
  <c r="R7" i="8"/>
  <c r="W6" i="8"/>
  <c r="R6" i="8"/>
  <c r="W5" i="8"/>
  <c r="R5" i="8"/>
  <c r="W4" i="8"/>
  <c r="R4" i="8"/>
  <c r="W3" i="8"/>
  <c r="R3" i="8"/>
  <c r="U2" i="8"/>
  <c r="V2" i="8" s="1"/>
  <c r="V3" i="8" s="1"/>
  <c r="V4" i="8" s="1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V119" i="8" s="1"/>
  <c r="V120" i="8" s="1"/>
  <c r="V121" i="8" s="1"/>
  <c r="Q2" i="8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" i="6"/>
  <c r="AE5" i="6"/>
  <c r="AE6" i="6" s="1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E29" i="6" s="1"/>
  <c r="AE30" i="6" s="1"/>
  <c r="AE31" i="6" s="1"/>
  <c r="AE32" i="6" s="1"/>
  <c r="AE33" i="6" s="1"/>
  <c r="AE34" i="6" s="1"/>
  <c r="AE35" i="6" s="1"/>
  <c r="AE36" i="6" s="1"/>
  <c r="AE37" i="6" s="1"/>
  <c r="AE38" i="6" s="1"/>
  <c r="AE39" i="6" s="1"/>
  <c r="AE40" i="6" s="1"/>
  <c r="AE41" i="6" s="1"/>
  <c r="AE42" i="6" s="1"/>
  <c r="AE43" i="6" s="1"/>
  <c r="AE44" i="6" s="1"/>
  <c r="AE45" i="6" s="1"/>
  <c r="AE46" i="6" s="1"/>
  <c r="AE47" i="6" s="1"/>
  <c r="AE48" i="6" s="1"/>
  <c r="AE49" i="6" s="1"/>
  <c r="AE50" i="6" s="1"/>
  <c r="AE51" i="6" s="1"/>
  <c r="AE52" i="6" s="1"/>
  <c r="AE53" i="6" s="1"/>
  <c r="AE54" i="6" s="1"/>
  <c r="AE55" i="6" s="1"/>
  <c r="AE56" i="6" s="1"/>
  <c r="AE57" i="6" s="1"/>
  <c r="AE58" i="6" s="1"/>
  <c r="AE59" i="6" s="1"/>
  <c r="AE60" i="6" s="1"/>
  <c r="AE61" i="6" s="1"/>
  <c r="AE62" i="6" s="1"/>
  <c r="AE63" i="6" s="1"/>
  <c r="AE64" i="6" s="1"/>
  <c r="AE65" i="6" s="1"/>
  <c r="AE66" i="6" s="1"/>
  <c r="AE67" i="6" s="1"/>
  <c r="AE68" i="6" s="1"/>
  <c r="AE69" i="6" s="1"/>
  <c r="AE70" i="6" s="1"/>
  <c r="AE71" i="6" s="1"/>
  <c r="AE72" i="6" s="1"/>
  <c r="AE73" i="6" s="1"/>
  <c r="AE74" i="6" s="1"/>
  <c r="AE75" i="6" s="1"/>
  <c r="AE76" i="6" s="1"/>
  <c r="AE77" i="6" s="1"/>
  <c r="AE78" i="6" s="1"/>
  <c r="AE79" i="6" s="1"/>
  <c r="AE80" i="6" s="1"/>
  <c r="AE81" i="6" s="1"/>
  <c r="AE82" i="6" s="1"/>
  <c r="AE83" i="6" s="1"/>
  <c r="AE84" i="6" s="1"/>
  <c r="AE85" i="6" s="1"/>
  <c r="AE86" i="6" s="1"/>
  <c r="AE87" i="6" s="1"/>
  <c r="AE88" i="6" s="1"/>
  <c r="AE89" i="6" s="1"/>
  <c r="AE90" i="6" s="1"/>
  <c r="AE91" i="6" s="1"/>
  <c r="AE92" i="6" s="1"/>
  <c r="AE93" i="6" s="1"/>
  <c r="AE94" i="6" s="1"/>
  <c r="AE95" i="6" s="1"/>
  <c r="AE96" i="6" s="1"/>
  <c r="AE97" i="6" s="1"/>
  <c r="AE98" i="6" s="1"/>
  <c r="AE99" i="6" s="1"/>
  <c r="AE100" i="6" s="1"/>
  <c r="AE101" i="6" s="1"/>
  <c r="AE102" i="6" s="1"/>
  <c r="AE103" i="6" s="1"/>
  <c r="AE104" i="6" s="1"/>
  <c r="AE105" i="6" s="1"/>
  <c r="AE106" i="6" s="1"/>
  <c r="AE107" i="6" s="1"/>
  <c r="AE108" i="6" s="1"/>
  <c r="AE109" i="6" s="1"/>
  <c r="AE110" i="6" s="1"/>
  <c r="AE111" i="6" s="1"/>
  <c r="AE112" i="6" s="1"/>
  <c r="AE113" i="6" s="1"/>
  <c r="AE114" i="6" s="1"/>
  <c r="AE115" i="6" s="1"/>
  <c r="AE116" i="6" s="1"/>
  <c r="AE117" i="6" s="1"/>
  <c r="AE118" i="6" s="1"/>
  <c r="AE119" i="6" s="1"/>
  <c r="AE120" i="6" s="1"/>
  <c r="AE121" i="6" s="1"/>
  <c r="AE122" i="6" s="1"/>
  <c r="AE123" i="6" s="1"/>
  <c r="AE124" i="6" s="1"/>
  <c r="AE125" i="6" s="1"/>
  <c r="AF5" i="6"/>
  <c r="AF6" i="6"/>
  <c r="AF7" i="6"/>
  <c r="AF8" i="6"/>
  <c r="AF9" i="6"/>
  <c r="AF10" i="6" s="1"/>
  <c r="AF11" i="6" s="1"/>
  <c r="AF12" i="6" s="1"/>
  <c r="AF13" i="6" s="1"/>
  <c r="AF14" i="6" s="1"/>
  <c r="AF15" i="6" s="1"/>
  <c r="AF16" i="6" s="1"/>
  <c r="AF17" i="6" s="1"/>
  <c r="AF18" i="6" s="1"/>
  <c r="AF19" i="6" s="1"/>
  <c r="AF20" i="6" s="1"/>
  <c r="AF21" i="6" s="1"/>
  <c r="AF22" i="6" s="1"/>
  <c r="AF23" i="6" s="1"/>
  <c r="AF24" i="6" s="1"/>
  <c r="AF25" i="6" s="1"/>
  <c r="AF26" i="6" s="1"/>
  <c r="AF27" i="6" s="1"/>
  <c r="AF28" i="6" s="1"/>
  <c r="AF29" i="6" s="1"/>
  <c r="AF30" i="6" s="1"/>
  <c r="AF31" i="6" s="1"/>
  <c r="AF32" i="6" s="1"/>
  <c r="AF33" i="6" s="1"/>
  <c r="AF34" i="6" s="1"/>
  <c r="AF35" i="6" s="1"/>
  <c r="AF36" i="6" s="1"/>
  <c r="AF37" i="6" s="1"/>
  <c r="AF38" i="6" s="1"/>
  <c r="AF39" i="6" s="1"/>
  <c r="AF40" i="6" s="1"/>
  <c r="AF41" i="6" s="1"/>
  <c r="AF42" i="6" s="1"/>
  <c r="AF43" i="6" s="1"/>
  <c r="AF44" i="6" s="1"/>
  <c r="AF45" i="6" s="1"/>
  <c r="AF46" i="6" s="1"/>
  <c r="AF47" i="6" s="1"/>
  <c r="AF48" i="6" s="1"/>
  <c r="AF49" i="6" s="1"/>
  <c r="AF50" i="6" s="1"/>
  <c r="AF51" i="6" s="1"/>
  <c r="AF52" i="6" s="1"/>
  <c r="AF53" i="6" s="1"/>
  <c r="AF54" i="6" s="1"/>
  <c r="AF55" i="6" s="1"/>
  <c r="AF56" i="6" s="1"/>
  <c r="AF57" i="6" s="1"/>
  <c r="AF58" i="6" s="1"/>
  <c r="AF59" i="6" s="1"/>
  <c r="AF60" i="6" s="1"/>
  <c r="AF61" i="6" s="1"/>
  <c r="AF62" i="6" s="1"/>
  <c r="AF63" i="6" s="1"/>
  <c r="AF64" i="6" s="1"/>
  <c r="AF65" i="6" s="1"/>
  <c r="AF66" i="6" s="1"/>
  <c r="AF67" i="6" s="1"/>
  <c r="AF68" i="6" s="1"/>
  <c r="AF69" i="6" s="1"/>
  <c r="AF70" i="6" s="1"/>
  <c r="AF71" i="6" s="1"/>
  <c r="AF72" i="6" s="1"/>
  <c r="AF73" i="6" s="1"/>
  <c r="AF74" i="6" s="1"/>
  <c r="AF75" i="6" s="1"/>
  <c r="AF76" i="6" s="1"/>
  <c r="AF77" i="6" s="1"/>
  <c r="AF78" i="6" s="1"/>
  <c r="AF79" i="6" s="1"/>
  <c r="AF80" i="6" s="1"/>
  <c r="AF81" i="6" s="1"/>
  <c r="AF82" i="6" s="1"/>
  <c r="AF83" i="6" s="1"/>
  <c r="AF84" i="6" s="1"/>
  <c r="AF85" i="6" s="1"/>
  <c r="AF86" i="6" s="1"/>
  <c r="AF87" i="6" s="1"/>
  <c r="AF88" i="6" s="1"/>
  <c r="AF89" i="6" s="1"/>
  <c r="AF90" i="6" s="1"/>
  <c r="AF91" i="6" s="1"/>
  <c r="AF92" i="6" s="1"/>
  <c r="AF93" i="6" s="1"/>
  <c r="AF94" i="6" s="1"/>
  <c r="AF95" i="6" s="1"/>
  <c r="AF96" i="6" s="1"/>
  <c r="AF97" i="6" s="1"/>
  <c r="AF98" i="6" s="1"/>
  <c r="AF99" i="6" s="1"/>
  <c r="AF100" i="6" s="1"/>
  <c r="AF101" i="6" s="1"/>
  <c r="AF102" i="6" s="1"/>
  <c r="AF103" i="6" s="1"/>
  <c r="AF104" i="6" s="1"/>
  <c r="AF105" i="6" s="1"/>
  <c r="AF106" i="6" s="1"/>
  <c r="AF107" i="6" s="1"/>
  <c r="AF108" i="6" s="1"/>
  <c r="AF109" i="6" s="1"/>
  <c r="AF110" i="6" s="1"/>
  <c r="AF111" i="6" s="1"/>
  <c r="AF112" i="6" s="1"/>
  <c r="AF113" i="6" s="1"/>
  <c r="AF114" i="6" s="1"/>
  <c r="AF115" i="6" s="1"/>
  <c r="AF116" i="6" s="1"/>
  <c r="AF117" i="6" s="1"/>
  <c r="AF118" i="6" s="1"/>
  <c r="AF119" i="6" s="1"/>
  <c r="AF120" i="6" s="1"/>
  <c r="AF121" i="6" s="1"/>
  <c r="AF122" i="6" s="1"/>
  <c r="AF123" i="6" s="1"/>
  <c r="AF124" i="6" s="1"/>
  <c r="AF125" i="6" s="1"/>
  <c r="AF126" i="6" s="1"/>
  <c r="AF127" i="6" s="1"/>
  <c r="AF128" i="6" s="1"/>
  <c r="AF129" i="6" s="1"/>
  <c r="AF130" i="6" s="1"/>
  <c r="AF131" i="6" s="1"/>
  <c r="AF132" i="6" s="1"/>
  <c r="AF133" i="6" s="1"/>
  <c r="AF134" i="6" s="1"/>
  <c r="AF135" i="6" s="1"/>
  <c r="AF136" i="6" s="1"/>
  <c r="AF137" i="6" s="1"/>
  <c r="AF138" i="6" s="1"/>
  <c r="AF139" i="6" s="1"/>
  <c r="AF140" i="6" s="1"/>
  <c r="AF141" i="6" s="1"/>
  <c r="AF142" i="6" s="1"/>
  <c r="AF143" i="6" s="1"/>
  <c r="AF144" i="6" s="1"/>
  <c r="AF145" i="6" s="1"/>
  <c r="AF146" i="6" s="1"/>
  <c r="AF147" i="6" s="1"/>
  <c r="P14" i="6"/>
  <c r="Y14" i="6"/>
  <c r="C42" i="6"/>
  <c r="AB7" i="6" s="1"/>
  <c r="Y13" i="6"/>
  <c r="Y12" i="6"/>
  <c r="Y11" i="6"/>
  <c r="Y10" i="6"/>
  <c r="Y9" i="6"/>
  <c r="Y8" i="6"/>
  <c r="Y7" i="6"/>
  <c r="Y5" i="6"/>
  <c r="Y4" i="6"/>
  <c r="Y3" i="6"/>
  <c r="Q28" i="7"/>
  <c r="Q102" i="7"/>
  <c r="C30" i="7"/>
  <c r="C29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63" i="7"/>
  <c r="T122" i="7"/>
  <c r="S122" i="7"/>
  <c r="T121" i="7"/>
  <c r="S121" i="7"/>
  <c r="T120" i="7"/>
  <c r="S120" i="7"/>
  <c r="T119" i="7"/>
  <c r="S119" i="7"/>
  <c r="T118" i="7"/>
  <c r="S118" i="7"/>
  <c r="T117" i="7"/>
  <c r="S117" i="7"/>
  <c r="T116" i="7"/>
  <c r="S116" i="7"/>
  <c r="T115" i="7"/>
  <c r="S115" i="7"/>
  <c r="T114" i="7"/>
  <c r="S114" i="7"/>
  <c r="T113" i="7"/>
  <c r="S113" i="7"/>
  <c r="T112" i="7"/>
  <c r="S112" i="7"/>
  <c r="T111" i="7"/>
  <c r="S111" i="7"/>
  <c r="T110" i="7"/>
  <c r="S110" i="7"/>
  <c r="T109" i="7"/>
  <c r="S109" i="7"/>
  <c r="T108" i="7"/>
  <c r="S108" i="7"/>
  <c r="T107" i="7"/>
  <c r="S107" i="7"/>
  <c r="T106" i="7"/>
  <c r="S106" i="7"/>
  <c r="T105" i="7"/>
  <c r="S105" i="7"/>
  <c r="T104" i="7"/>
  <c r="S104" i="7"/>
  <c r="T103" i="7"/>
  <c r="S103" i="7"/>
  <c r="T102" i="7"/>
  <c r="S102" i="7"/>
  <c r="T101" i="7"/>
  <c r="S101" i="7"/>
  <c r="T100" i="7"/>
  <c r="S100" i="7"/>
  <c r="T99" i="7"/>
  <c r="S99" i="7"/>
  <c r="T98" i="7"/>
  <c r="S98" i="7"/>
  <c r="T97" i="7"/>
  <c r="S97" i="7"/>
  <c r="T96" i="7"/>
  <c r="S96" i="7"/>
  <c r="T95" i="7"/>
  <c r="S95" i="7"/>
  <c r="T94" i="7"/>
  <c r="S94" i="7"/>
  <c r="T93" i="7"/>
  <c r="S93" i="7"/>
  <c r="T92" i="7"/>
  <c r="S92" i="7"/>
  <c r="T91" i="7"/>
  <c r="S91" i="7"/>
  <c r="T90" i="7"/>
  <c r="S90" i="7"/>
  <c r="T89" i="7"/>
  <c r="S89" i="7"/>
  <c r="T88" i="7"/>
  <c r="S88" i="7"/>
  <c r="T87" i="7"/>
  <c r="S87" i="7"/>
  <c r="T86" i="7"/>
  <c r="S86" i="7"/>
  <c r="T85" i="7"/>
  <c r="S85" i="7"/>
  <c r="T84" i="7"/>
  <c r="S84" i="7"/>
  <c r="T83" i="7"/>
  <c r="S83" i="7"/>
  <c r="T82" i="7"/>
  <c r="S82" i="7"/>
  <c r="T81" i="7"/>
  <c r="S81" i="7"/>
  <c r="T80" i="7"/>
  <c r="S80" i="7"/>
  <c r="T79" i="7"/>
  <c r="S79" i="7"/>
  <c r="T78" i="7"/>
  <c r="S78" i="7"/>
  <c r="T77" i="7"/>
  <c r="S77" i="7"/>
  <c r="T76" i="7"/>
  <c r="S76" i="7"/>
  <c r="T75" i="7"/>
  <c r="S75" i="7"/>
  <c r="T74" i="7"/>
  <c r="S74" i="7"/>
  <c r="T73" i="7"/>
  <c r="S73" i="7"/>
  <c r="T72" i="7"/>
  <c r="S72" i="7"/>
  <c r="T71" i="7"/>
  <c r="S71" i="7"/>
  <c r="T70" i="7"/>
  <c r="S70" i="7"/>
  <c r="T69" i="7"/>
  <c r="S69" i="7"/>
  <c r="T68" i="7"/>
  <c r="S68" i="7"/>
  <c r="T67" i="7"/>
  <c r="S67" i="7"/>
  <c r="T66" i="7"/>
  <c r="S66" i="7"/>
  <c r="T65" i="7"/>
  <c r="S65" i="7"/>
  <c r="T64" i="7"/>
  <c r="S64" i="7"/>
  <c r="T63" i="7"/>
  <c r="S63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F130" i="7"/>
  <c r="G121" i="7"/>
  <c r="G99" i="7"/>
  <c r="G111" i="7" s="1"/>
  <c r="G82" i="7"/>
  <c r="G94" i="7" s="1"/>
  <c r="G106" i="7" s="1"/>
  <c r="G118" i="7" s="1"/>
  <c r="O62" i="7"/>
  <c r="S50" i="7"/>
  <c r="O50" i="7"/>
  <c r="F38" i="7"/>
  <c r="F50" i="7" s="1"/>
  <c r="F62" i="7" s="1"/>
  <c r="S62" i="7" s="1"/>
  <c r="G37" i="7"/>
  <c r="G49" i="7" s="1"/>
  <c r="G61" i="7" s="1"/>
  <c r="G73" i="7" s="1"/>
  <c r="G85" i="7" s="1"/>
  <c r="G97" i="7" s="1"/>
  <c r="G109" i="7" s="1"/>
  <c r="F37" i="7"/>
  <c r="F36" i="7"/>
  <c r="F48" i="7" s="1"/>
  <c r="G33" i="7"/>
  <c r="G45" i="7" s="1"/>
  <c r="G57" i="7" s="1"/>
  <c r="G69" i="7" s="1"/>
  <c r="G81" i="7" s="1"/>
  <c r="G93" i="7" s="1"/>
  <c r="G105" i="7" s="1"/>
  <c r="G117" i="7" s="1"/>
  <c r="D32" i="7"/>
  <c r="F31" i="7"/>
  <c r="S31" i="7" s="1"/>
  <c r="S28" i="7"/>
  <c r="G28" i="7"/>
  <c r="G40" i="7" s="1"/>
  <c r="G52" i="7" s="1"/>
  <c r="G64" i="7" s="1"/>
  <c r="G76" i="7" s="1"/>
  <c r="G88" i="7" s="1"/>
  <c r="G100" i="7" s="1"/>
  <c r="G112" i="7" s="1"/>
  <c r="F28" i="7"/>
  <c r="O28" i="7" s="1"/>
  <c r="S26" i="7"/>
  <c r="O26" i="7"/>
  <c r="G26" i="7"/>
  <c r="G38" i="7" s="1"/>
  <c r="G50" i="7" s="1"/>
  <c r="G62" i="7" s="1"/>
  <c r="G74" i="7" s="1"/>
  <c r="G86" i="7" s="1"/>
  <c r="G98" i="7" s="1"/>
  <c r="G110" i="7" s="1"/>
  <c r="G122" i="7" s="1"/>
  <c r="F26" i="7"/>
  <c r="G25" i="7"/>
  <c r="F25" i="7"/>
  <c r="G24" i="7"/>
  <c r="G36" i="7" s="1"/>
  <c r="G48" i="7" s="1"/>
  <c r="G60" i="7" s="1"/>
  <c r="G72" i="7" s="1"/>
  <c r="G84" i="7" s="1"/>
  <c r="G96" i="7" s="1"/>
  <c r="G108" i="7" s="1"/>
  <c r="G120" i="7" s="1"/>
  <c r="F24" i="7"/>
  <c r="S24" i="7" s="1"/>
  <c r="G23" i="7"/>
  <c r="G35" i="7" s="1"/>
  <c r="G47" i="7" s="1"/>
  <c r="G59" i="7" s="1"/>
  <c r="G71" i="7" s="1"/>
  <c r="G83" i="7" s="1"/>
  <c r="G95" i="7" s="1"/>
  <c r="G107" i="7" s="1"/>
  <c r="G119" i="7" s="1"/>
  <c r="F23" i="7"/>
  <c r="G22" i="7"/>
  <c r="G34" i="7" s="1"/>
  <c r="G46" i="7" s="1"/>
  <c r="G58" i="7" s="1"/>
  <c r="G70" i="7" s="1"/>
  <c r="F22" i="7"/>
  <c r="G21" i="7"/>
  <c r="F21" i="7"/>
  <c r="F33" i="7" s="1"/>
  <c r="D21" i="7"/>
  <c r="G20" i="7"/>
  <c r="G32" i="7" s="1"/>
  <c r="G44" i="7" s="1"/>
  <c r="G56" i="7" s="1"/>
  <c r="G68" i="7" s="1"/>
  <c r="G80" i="7" s="1"/>
  <c r="G92" i="7" s="1"/>
  <c r="G104" i="7" s="1"/>
  <c r="G116" i="7" s="1"/>
  <c r="F20" i="7"/>
  <c r="S19" i="7"/>
  <c r="G19" i="7"/>
  <c r="G31" i="7" s="1"/>
  <c r="G43" i="7" s="1"/>
  <c r="G55" i="7" s="1"/>
  <c r="G67" i="7" s="1"/>
  <c r="G79" i="7" s="1"/>
  <c r="G91" i="7" s="1"/>
  <c r="G103" i="7" s="1"/>
  <c r="G115" i="7" s="1"/>
  <c r="F19" i="7"/>
  <c r="O19" i="7" s="1"/>
  <c r="O18" i="7"/>
  <c r="G18" i="7"/>
  <c r="G30" i="7" s="1"/>
  <c r="G42" i="7" s="1"/>
  <c r="G54" i="7" s="1"/>
  <c r="G66" i="7" s="1"/>
  <c r="G78" i="7" s="1"/>
  <c r="G90" i="7" s="1"/>
  <c r="G102" i="7" s="1"/>
  <c r="G114" i="7" s="1"/>
  <c r="F18" i="7"/>
  <c r="G17" i="7"/>
  <c r="G29" i="7" s="1"/>
  <c r="G41" i="7" s="1"/>
  <c r="G53" i="7" s="1"/>
  <c r="G65" i="7" s="1"/>
  <c r="G77" i="7" s="1"/>
  <c r="G89" i="7" s="1"/>
  <c r="G101" i="7" s="1"/>
  <c r="G113" i="7" s="1"/>
  <c r="F17" i="7"/>
  <c r="G16" i="7"/>
  <c r="F16" i="7"/>
  <c r="G15" i="7"/>
  <c r="G27" i="7" s="1"/>
  <c r="G39" i="7" s="1"/>
  <c r="G51" i="7" s="1"/>
  <c r="G63" i="7" s="1"/>
  <c r="G75" i="7" s="1"/>
  <c r="G87" i="7" s="1"/>
  <c r="F15" i="7"/>
  <c r="S14" i="7"/>
  <c r="O14" i="7"/>
  <c r="S13" i="7"/>
  <c r="O13" i="7"/>
  <c r="D13" i="7"/>
  <c r="S12" i="7"/>
  <c r="O12" i="7"/>
  <c r="D12" i="7"/>
  <c r="S11" i="7"/>
  <c r="O11" i="7"/>
  <c r="S10" i="7"/>
  <c r="O10" i="7"/>
  <c r="S9" i="7"/>
  <c r="O9" i="7"/>
  <c r="C9" i="7"/>
  <c r="C11" i="7" s="1"/>
  <c r="L28" i="7" s="1"/>
  <c r="S8" i="7"/>
  <c r="O8" i="7"/>
  <c r="S7" i="7"/>
  <c r="O7" i="7"/>
  <c r="S6" i="7"/>
  <c r="O6" i="7"/>
  <c r="S5" i="7"/>
  <c r="O5" i="7"/>
  <c r="S4" i="7"/>
  <c r="O4" i="7"/>
  <c r="S3" i="7"/>
  <c r="O3" i="7"/>
  <c r="Q2" i="7"/>
  <c r="R2" i="7" s="1"/>
  <c r="C39" i="6"/>
  <c r="AB4" i="6" s="1"/>
  <c r="G123" i="6"/>
  <c r="G135" i="6" s="1"/>
  <c r="G147" i="6" s="1"/>
  <c r="G159" i="6" s="1"/>
  <c r="G171" i="6" s="1"/>
  <c r="G183" i="6" s="1"/>
  <c r="G195" i="6" s="1"/>
  <c r="G207" i="6" s="1"/>
  <c r="G219" i="6" s="1"/>
  <c r="G231" i="6" s="1"/>
  <c r="D32" i="6"/>
  <c r="G26" i="6"/>
  <c r="G38" i="6" s="1"/>
  <c r="G50" i="6" s="1"/>
  <c r="G62" i="6" s="1"/>
  <c r="G74" i="6" s="1"/>
  <c r="G86" i="6" s="1"/>
  <c r="G98" i="6" s="1"/>
  <c r="G110" i="6" s="1"/>
  <c r="G122" i="6" s="1"/>
  <c r="G134" i="6" s="1"/>
  <c r="G146" i="6" s="1"/>
  <c r="G158" i="6" s="1"/>
  <c r="G170" i="6" s="1"/>
  <c r="G182" i="6" s="1"/>
  <c r="G194" i="6" s="1"/>
  <c r="G206" i="6" s="1"/>
  <c r="G218" i="6" s="1"/>
  <c r="G230" i="6" s="1"/>
  <c r="G242" i="6" s="1"/>
  <c r="F26" i="6"/>
  <c r="G25" i="6"/>
  <c r="G37" i="6" s="1"/>
  <c r="G49" i="6" s="1"/>
  <c r="G61" i="6" s="1"/>
  <c r="G73" i="6" s="1"/>
  <c r="G85" i="6" s="1"/>
  <c r="G97" i="6" s="1"/>
  <c r="G109" i="6" s="1"/>
  <c r="G121" i="6" s="1"/>
  <c r="G133" i="6" s="1"/>
  <c r="G145" i="6" s="1"/>
  <c r="G157" i="6" s="1"/>
  <c r="G169" i="6" s="1"/>
  <c r="G181" i="6" s="1"/>
  <c r="G193" i="6" s="1"/>
  <c r="G205" i="6" s="1"/>
  <c r="G217" i="6" s="1"/>
  <c r="G229" i="6" s="1"/>
  <c r="G241" i="6" s="1"/>
  <c r="F25" i="6"/>
  <c r="G24" i="6"/>
  <c r="G36" i="6" s="1"/>
  <c r="G48" i="6" s="1"/>
  <c r="G60" i="6" s="1"/>
  <c r="G72" i="6" s="1"/>
  <c r="G84" i="6" s="1"/>
  <c r="G96" i="6" s="1"/>
  <c r="G108" i="6" s="1"/>
  <c r="G120" i="6" s="1"/>
  <c r="G132" i="6" s="1"/>
  <c r="G144" i="6" s="1"/>
  <c r="G156" i="6" s="1"/>
  <c r="G168" i="6" s="1"/>
  <c r="G180" i="6" s="1"/>
  <c r="G192" i="6" s="1"/>
  <c r="G204" i="6" s="1"/>
  <c r="G216" i="6" s="1"/>
  <c r="G228" i="6" s="1"/>
  <c r="G240" i="6" s="1"/>
  <c r="F24" i="6"/>
  <c r="F36" i="6" s="1"/>
  <c r="F48" i="6" s="1"/>
  <c r="P23" i="6"/>
  <c r="G23" i="6"/>
  <c r="G35" i="6" s="1"/>
  <c r="G47" i="6" s="1"/>
  <c r="G59" i="6" s="1"/>
  <c r="G71" i="6" s="1"/>
  <c r="G83" i="6" s="1"/>
  <c r="G95" i="6" s="1"/>
  <c r="G107" i="6" s="1"/>
  <c r="G119" i="6" s="1"/>
  <c r="G131" i="6" s="1"/>
  <c r="G143" i="6" s="1"/>
  <c r="G155" i="6" s="1"/>
  <c r="G167" i="6" s="1"/>
  <c r="G179" i="6" s="1"/>
  <c r="G191" i="6" s="1"/>
  <c r="G203" i="6" s="1"/>
  <c r="G215" i="6" s="1"/>
  <c r="G227" i="6" s="1"/>
  <c r="G239" i="6" s="1"/>
  <c r="F23" i="6"/>
  <c r="S23" i="6" s="1"/>
  <c r="G22" i="6"/>
  <c r="G34" i="6" s="1"/>
  <c r="G46" i="6" s="1"/>
  <c r="G58" i="6" s="1"/>
  <c r="G70" i="6" s="1"/>
  <c r="G82" i="6" s="1"/>
  <c r="G94" i="6" s="1"/>
  <c r="G106" i="6" s="1"/>
  <c r="G118" i="6" s="1"/>
  <c r="G130" i="6" s="1"/>
  <c r="G142" i="6" s="1"/>
  <c r="G154" i="6" s="1"/>
  <c r="G166" i="6" s="1"/>
  <c r="G178" i="6" s="1"/>
  <c r="G190" i="6" s="1"/>
  <c r="G202" i="6" s="1"/>
  <c r="G214" i="6" s="1"/>
  <c r="G226" i="6" s="1"/>
  <c r="G238" i="6" s="1"/>
  <c r="F22" i="6"/>
  <c r="G21" i="6"/>
  <c r="G33" i="6" s="1"/>
  <c r="G45" i="6" s="1"/>
  <c r="G57" i="6" s="1"/>
  <c r="G69" i="6" s="1"/>
  <c r="G81" i="6" s="1"/>
  <c r="G93" i="6" s="1"/>
  <c r="G105" i="6" s="1"/>
  <c r="G117" i="6" s="1"/>
  <c r="G129" i="6" s="1"/>
  <c r="G141" i="6" s="1"/>
  <c r="G153" i="6" s="1"/>
  <c r="G165" i="6" s="1"/>
  <c r="G177" i="6" s="1"/>
  <c r="G189" i="6" s="1"/>
  <c r="G201" i="6" s="1"/>
  <c r="G213" i="6" s="1"/>
  <c r="G225" i="6" s="1"/>
  <c r="G237" i="6" s="1"/>
  <c r="F21" i="6"/>
  <c r="P21" i="6" s="1"/>
  <c r="D21" i="6"/>
  <c r="G20" i="6"/>
  <c r="G32" i="6" s="1"/>
  <c r="G44" i="6" s="1"/>
  <c r="G56" i="6" s="1"/>
  <c r="G68" i="6" s="1"/>
  <c r="G80" i="6" s="1"/>
  <c r="G92" i="6" s="1"/>
  <c r="G104" i="6" s="1"/>
  <c r="G116" i="6" s="1"/>
  <c r="G128" i="6" s="1"/>
  <c r="G140" i="6" s="1"/>
  <c r="G152" i="6" s="1"/>
  <c r="G164" i="6" s="1"/>
  <c r="G176" i="6" s="1"/>
  <c r="G188" i="6" s="1"/>
  <c r="G200" i="6" s="1"/>
  <c r="G212" i="6" s="1"/>
  <c r="G224" i="6" s="1"/>
  <c r="G236" i="6" s="1"/>
  <c r="F20" i="6"/>
  <c r="G19" i="6"/>
  <c r="G31" i="6" s="1"/>
  <c r="G43" i="6" s="1"/>
  <c r="G55" i="6" s="1"/>
  <c r="G67" i="6" s="1"/>
  <c r="G79" i="6" s="1"/>
  <c r="G91" i="6" s="1"/>
  <c r="G103" i="6" s="1"/>
  <c r="G115" i="6" s="1"/>
  <c r="G127" i="6" s="1"/>
  <c r="G139" i="6" s="1"/>
  <c r="G151" i="6" s="1"/>
  <c r="G163" i="6" s="1"/>
  <c r="G175" i="6" s="1"/>
  <c r="G187" i="6" s="1"/>
  <c r="G199" i="6" s="1"/>
  <c r="G211" i="6" s="1"/>
  <c r="G223" i="6" s="1"/>
  <c r="G235" i="6" s="1"/>
  <c r="F19" i="6"/>
  <c r="F31" i="6" s="1"/>
  <c r="F43" i="6" s="1"/>
  <c r="S43" i="6" s="1"/>
  <c r="G18" i="6"/>
  <c r="G30" i="6" s="1"/>
  <c r="G42" i="6" s="1"/>
  <c r="G54" i="6" s="1"/>
  <c r="G66" i="6" s="1"/>
  <c r="G78" i="6" s="1"/>
  <c r="G90" i="6" s="1"/>
  <c r="G102" i="6" s="1"/>
  <c r="G114" i="6" s="1"/>
  <c r="G126" i="6" s="1"/>
  <c r="G138" i="6" s="1"/>
  <c r="G150" i="6" s="1"/>
  <c r="G162" i="6" s="1"/>
  <c r="G174" i="6" s="1"/>
  <c r="G186" i="6" s="1"/>
  <c r="G198" i="6" s="1"/>
  <c r="G210" i="6" s="1"/>
  <c r="G222" i="6" s="1"/>
  <c r="G234" i="6" s="1"/>
  <c r="F18" i="6"/>
  <c r="G17" i="6"/>
  <c r="G29" i="6" s="1"/>
  <c r="G41" i="6" s="1"/>
  <c r="G53" i="6" s="1"/>
  <c r="G65" i="6" s="1"/>
  <c r="G77" i="6" s="1"/>
  <c r="G89" i="6" s="1"/>
  <c r="G101" i="6" s="1"/>
  <c r="G113" i="6" s="1"/>
  <c r="G125" i="6" s="1"/>
  <c r="G137" i="6" s="1"/>
  <c r="G149" i="6" s="1"/>
  <c r="G161" i="6" s="1"/>
  <c r="G173" i="6" s="1"/>
  <c r="G185" i="6" s="1"/>
  <c r="G197" i="6" s="1"/>
  <c r="G209" i="6" s="1"/>
  <c r="G221" i="6" s="1"/>
  <c r="G233" i="6" s="1"/>
  <c r="F17" i="6"/>
  <c r="F29" i="6" s="1"/>
  <c r="G16" i="6"/>
  <c r="G28" i="6" s="1"/>
  <c r="G40" i="6" s="1"/>
  <c r="G52" i="6" s="1"/>
  <c r="G64" i="6" s="1"/>
  <c r="G76" i="6" s="1"/>
  <c r="G88" i="6" s="1"/>
  <c r="G100" i="6" s="1"/>
  <c r="G112" i="6" s="1"/>
  <c r="G124" i="6" s="1"/>
  <c r="G136" i="6" s="1"/>
  <c r="G148" i="6" s="1"/>
  <c r="G160" i="6" s="1"/>
  <c r="G172" i="6" s="1"/>
  <c r="G184" i="6" s="1"/>
  <c r="G196" i="6" s="1"/>
  <c r="G208" i="6" s="1"/>
  <c r="G220" i="6" s="1"/>
  <c r="G232" i="6" s="1"/>
  <c r="F16" i="6"/>
  <c r="F28" i="6" s="1"/>
  <c r="G15" i="6"/>
  <c r="G27" i="6" s="1"/>
  <c r="G39" i="6" s="1"/>
  <c r="G51" i="6" s="1"/>
  <c r="G63" i="6" s="1"/>
  <c r="G75" i="6" s="1"/>
  <c r="G87" i="6" s="1"/>
  <c r="G99" i="6" s="1"/>
  <c r="G111" i="6" s="1"/>
  <c r="F15" i="6"/>
  <c r="P15" i="6" s="1"/>
  <c r="S14" i="6"/>
  <c r="S13" i="6"/>
  <c r="P13" i="6"/>
  <c r="D13" i="6"/>
  <c r="S12" i="6"/>
  <c r="P12" i="6"/>
  <c r="D12" i="6"/>
  <c r="S11" i="6"/>
  <c r="P11" i="6"/>
  <c r="S10" i="6"/>
  <c r="P10" i="6"/>
  <c r="S9" i="6"/>
  <c r="P9" i="6"/>
  <c r="C9" i="6"/>
  <c r="C11" i="6" s="1"/>
  <c r="S8" i="6"/>
  <c r="P8" i="6"/>
  <c r="S7" i="6"/>
  <c r="P7" i="6"/>
  <c r="S6" i="6"/>
  <c r="P6" i="6"/>
  <c r="S5" i="6"/>
  <c r="P5" i="6"/>
  <c r="S4" i="6"/>
  <c r="P4" i="6"/>
  <c r="S3" i="6"/>
  <c r="P3" i="6"/>
  <c r="AF3" i="6" s="1"/>
  <c r="AF4" i="6" s="1"/>
  <c r="Q2" i="6"/>
  <c r="R2" i="6" s="1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N63" i="4"/>
  <c r="O63" i="4"/>
  <c r="Q4" i="5"/>
  <c r="Q5" i="5"/>
  <c r="Q6" i="5"/>
  <c r="Q7" i="5"/>
  <c r="Q8" i="5"/>
  <c r="Q9" i="5"/>
  <c r="Q10" i="5"/>
  <c r="Q11" i="5"/>
  <c r="Q12" i="5"/>
  <c r="Q13" i="5"/>
  <c r="Q14" i="5"/>
  <c r="Q24" i="5"/>
  <c r="Q3" i="5"/>
  <c r="P2" i="5"/>
  <c r="F130" i="5"/>
  <c r="F131" i="5" s="1"/>
  <c r="D32" i="5"/>
  <c r="G26" i="5"/>
  <c r="G38" i="5" s="1"/>
  <c r="G50" i="5" s="1"/>
  <c r="G62" i="5" s="1"/>
  <c r="G74" i="5" s="1"/>
  <c r="G86" i="5" s="1"/>
  <c r="G98" i="5" s="1"/>
  <c r="G110" i="5" s="1"/>
  <c r="G122" i="5" s="1"/>
  <c r="F26" i="5"/>
  <c r="Q26" i="5" s="1"/>
  <c r="G25" i="5"/>
  <c r="G37" i="5" s="1"/>
  <c r="G49" i="5" s="1"/>
  <c r="G61" i="5" s="1"/>
  <c r="G73" i="5" s="1"/>
  <c r="G85" i="5" s="1"/>
  <c r="G97" i="5" s="1"/>
  <c r="G109" i="5" s="1"/>
  <c r="G121" i="5" s="1"/>
  <c r="F25" i="5"/>
  <c r="F37" i="5" s="1"/>
  <c r="V37" i="5" s="1"/>
  <c r="G24" i="5"/>
  <c r="G36" i="5" s="1"/>
  <c r="G48" i="5" s="1"/>
  <c r="G60" i="5" s="1"/>
  <c r="G72" i="5" s="1"/>
  <c r="G84" i="5" s="1"/>
  <c r="G96" i="5" s="1"/>
  <c r="G108" i="5" s="1"/>
  <c r="G120" i="5" s="1"/>
  <c r="F24" i="5"/>
  <c r="G23" i="5"/>
  <c r="G35" i="5" s="1"/>
  <c r="G47" i="5" s="1"/>
  <c r="G59" i="5" s="1"/>
  <c r="G71" i="5" s="1"/>
  <c r="G83" i="5" s="1"/>
  <c r="G95" i="5" s="1"/>
  <c r="G107" i="5" s="1"/>
  <c r="G119" i="5" s="1"/>
  <c r="F23" i="5"/>
  <c r="V23" i="5" s="1"/>
  <c r="G22" i="5"/>
  <c r="G34" i="5" s="1"/>
  <c r="G46" i="5" s="1"/>
  <c r="G58" i="5" s="1"/>
  <c r="G70" i="5" s="1"/>
  <c r="G82" i="5" s="1"/>
  <c r="G94" i="5" s="1"/>
  <c r="G106" i="5" s="1"/>
  <c r="G118" i="5" s="1"/>
  <c r="F22" i="5"/>
  <c r="F34" i="5" s="1"/>
  <c r="Q34" i="5" s="1"/>
  <c r="G21" i="5"/>
  <c r="G33" i="5" s="1"/>
  <c r="G45" i="5" s="1"/>
  <c r="G57" i="5" s="1"/>
  <c r="G69" i="5" s="1"/>
  <c r="G81" i="5" s="1"/>
  <c r="G93" i="5" s="1"/>
  <c r="G105" i="5" s="1"/>
  <c r="G117" i="5" s="1"/>
  <c r="F21" i="5"/>
  <c r="V21" i="5" s="1"/>
  <c r="D21" i="5"/>
  <c r="G20" i="5"/>
  <c r="G32" i="5" s="1"/>
  <c r="G44" i="5" s="1"/>
  <c r="G56" i="5" s="1"/>
  <c r="G68" i="5" s="1"/>
  <c r="G80" i="5" s="1"/>
  <c r="G92" i="5" s="1"/>
  <c r="G104" i="5" s="1"/>
  <c r="G116" i="5" s="1"/>
  <c r="F20" i="5"/>
  <c r="V20" i="5" s="1"/>
  <c r="G19" i="5"/>
  <c r="G31" i="5" s="1"/>
  <c r="G43" i="5" s="1"/>
  <c r="G55" i="5" s="1"/>
  <c r="G67" i="5" s="1"/>
  <c r="G79" i="5" s="1"/>
  <c r="G91" i="5" s="1"/>
  <c r="G103" i="5" s="1"/>
  <c r="G115" i="5" s="1"/>
  <c r="F19" i="5"/>
  <c r="Q19" i="5" s="1"/>
  <c r="G18" i="5"/>
  <c r="G30" i="5" s="1"/>
  <c r="G42" i="5" s="1"/>
  <c r="G54" i="5" s="1"/>
  <c r="G66" i="5" s="1"/>
  <c r="G78" i="5" s="1"/>
  <c r="G90" i="5" s="1"/>
  <c r="G102" i="5" s="1"/>
  <c r="G114" i="5" s="1"/>
  <c r="F18" i="5"/>
  <c r="V18" i="5" s="1"/>
  <c r="G17" i="5"/>
  <c r="G29" i="5" s="1"/>
  <c r="G41" i="5" s="1"/>
  <c r="G53" i="5" s="1"/>
  <c r="G65" i="5" s="1"/>
  <c r="G77" i="5" s="1"/>
  <c r="G89" i="5" s="1"/>
  <c r="G101" i="5" s="1"/>
  <c r="G113" i="5" s="1"/>
  <c r="F17" i="5"/>
  <c r="F29" i="5" s="1"/>
  <c r="G16" i="5"/>
  <c r="G28" i="5" s="1"/>
  <c r="G40" i="5" s="1"/>
  <c r="G52" i="5" s="1"/>
  <c r="G64" i="5" s="1"/>
  <c r="G76" i="5" s="1"/>
  <c r="G88" i="5" s="1"/>
  <c r="G100" i="5" s="1"/>
  <c r="G112" i="5" s="1"/>
  <c r="F16" i="5"/>
  <c r="V16" i="5" s="1"/>
  <c r="G15" i="5"/>
  <c r="G27" i="5" s="1"/>
  <c r="G39" i="5" s="1"/>
  <c r="G51" i="5" s="1"/>
  <c r="G63" i="5" s="1"/>
  <c r="G75" i="5" s="1"/>
  <c r="G87" i="5" s="1"/>
  <c r="G99" i="5" s="1"/>
  <c r="G111" i="5" s="1"/>
  <c r="F15" i="5"/>
  <c r="F27" i="5" s="1"/>
  <c r="V27" i="5" s="1"/>
  <c r="V14" i="5"/>
  <c r="V13" i="5"/>
  <c r="D13" i="5"/>
  <c r="V12" i="5"/>
  <c r="D12" i="5"/>
  <c r="V11" i="5"/>
  <c r="V10" i="5"/>
  <c r="V9" i="5"/>
  <c r="C9" i="5"/>
  <c r="C11" i="5" s="1"/>
  <c r="V8" i="5"/>
  <c r="V7" i="5"/>
  <c r="V6" i="5"/>
  <c r="V5" i="5"/>
  <c r="V4" i="5"/>
  <c r="V3" i="5"/>
  <c r="T2" i="5"/>
  <c r="U2" i="5" s="1"/>
  <c r="O46" i="4"/>
  <c r="O39" i="4"/>
  <c r="O38" i="4"/>
  <c r="O35" i="4"/>
  <c r="O23" i="4"/>
  <c r="O22" i="4"/>
  <c r="O21" i="4"/>
  <c r="O20" i="4"/>
  <c r="O19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F130" i="4"/>
  <c r="F131" i="4" s="1"/>
  <c r="G99" i="4"/>
  <c r="G111" i="4" s="1"/>
  <c r="F46" i="4"/>
  <c r="G39" i="4"/>
  <c r="G51" i="4" s="1"/>
  <c r="G63" i="4" s="1"/>
  <c r="G75" i="4" s="1"/>
  <c r="G87" i="4" s="1"/>
  <c r="G35" i="4"/>
  <c r="G47" i="4" s="1"/>
  <c r="G59" i="4" s="1"/>
  <c r="G71" i="4" s="1"/>
  <c r="G83" i="4" s="1"/>
  <c r="G95" i="4" s="1"/>
  <c r="G107" i="4" s="1"/>
  <c r="G119" i="4" s="1"/>
  <c r="F35" i="4"/>
  <c r="R34" i="4"/>
  <c r="G33" i="4"/>
  <c r="G45" i="4" s="1"/>
  <c r="G57" i="4" s="1"/>
  <c r="G69" i="4" s="1"/>
  <c r="G81" i="4" s="1"/>
  <c r="G93" i="4" s="1"/>
  <c r="G105" i="4" s="1"/>
  <c r="G117" i="4" s="1"/>
  <c r="D32" i="4"/>
  <c r="R27" i="4"/>
  <c r="G26" i="4"/>
  <c r="G38" i="4" s="1"/>
  <c r="G50" i="4" s="1"/>
  <c r="G62" i="4" s="1"/>
  <c r="G74" i="4" s="1"/>
  <c r="G86" i="4" s="1"/>
  <c r="G98" i="4" s="1"/>
  <c r="G110" i="4" s="1"/>
  <c r="G122" i="4" s="1"/>
  <c r="F26" i="4"/>
  <c r="F38" i="4" s="1"/>
  <c r="R38" i="4" s="1"/>
  <c r="G25" i="4"/>
  <c r="G37" i="4" s="1"/>
  <c r="G49" i="4" s="1"/>
  <c r="G61" i="4" s="1"/>
  <c r="G73" i="4" s="1"/>
  <c r="G85" i="4" s="1"/>
  <c r="G97" i="4" s="1"/>
  <c r="G109" i="4" s="1"/>
  <c r="G121" i="4" s="1"/>
  <c r="F25" i="4"/>
  <c r="R25" i="4" s="1"/>
  <c r="G24" i="4"/>
  <c r="G36" i="4" s="1"/>
  <c r="G48" i="4" s="1"/>
  <c r="G60" i="4" s="1"/>
  <c r="G72" i="4" s="1"/>
  <c r="G84" i="4" s="1"/>
  <c r="G96" i="4" s="1"/>
  <c r="G108" i="4" s="1"/>
  <c r="G120" i="4" s="1"/>
  <c r="F24" i="4"/>
  <c r="F36" i="4" s="1"/>
  <c r="R36" i="4" s="1"/>
  <c r="G23" i="4"/>
  <c r="F23" i="4"/>
  <c r="R23" i="4" s="1"/>
  <c r="R22" i="4"/>
  <c r="G22" i="4"/>
  <c r="G34" i="4" s="1"/>
  <c r="G46" i="4" s="1"/>
  <c r="G58" i="4" s="1"/>
  <c r="G70" i="4" s="1"/>
  <c r="G82" i="4" s="1"/>
  <c r="G94" i="4" s="1"/>
  <c r="G106" i="4" s="1"/>
  <c r="G118" i="4" s="1"/>
  <c r="F22" i="4"/>
  <c r="F34" i="4" s="1"/>
  <c r="O34" i="4" s="1"/>
  <c r="G21" i="4"/>
  <c r="F21" i="4"/>
  <c r="R21" i="4" s="1"/>
  <c r="D21" i="4"/>
  <c r="G20" i="4"/>
  <c r="G32" i="4" s="1"/>
  <c r="G44" i="4" s="1"/>
  <c r="G56" i="4" s="1"/>
  <c r="G68" i="4" s="1"/>
  <c r="G80" i="4" s="1"/>
  <c r="G92" i="4" s="1"/>
  <c r="G104" i="4" s="1"/>
  <c r="G116" i="4" s="1"/>
  <c r="F20" i="4"/>
  <c r="F32" i="4" s="1"/>
  <c r="G19" i="4"/>
  <c r="G31" i="4" s="1"/>
  <c r="G43" i="4" s="1"/>
  <c r="G55" i="4" s="1"/>
  <c r="G67" i="4" s="1"/>
  <c r="G79" i="4" s="1"/>
  <c r="G91" i="4" s="1"/>
  <c r="G103" i="4" s="1"/>
  <c r="G115" i="4" s="1"/>
  <c r="F19" i="4"/>
  <c r="R19" i="4" s="1"/>
  <c r="G18" i="4"/>
  <c r="G30" i="4" s="1"/>
  <c r="G42" i="4" s="1"/>
  <c r="G54" i="4" s="1"/>
  <c r="G66" i="4" s="1"/>
  <c r="G78" i="4" s="1"/>
  <c r="G90" i="4" s="1"/>
  <c r="G102" i="4" s="1"/>
  <c r="G114" i="4" s="1"/>
  <c r="F18" i="4"/>
  <c r="R18" i="4" s="1"/>
  <c r="G17" i="4"/>
  <c r="G29" i="4" s="1"/>
  <c r="G41" i="4" s="1"/>
  <c r="G53" i="4" s="1"/>
  <c r="G65" i="4" s="1"/>
  <c r="G77" i="4" s="1"/>
  <c r="G89" i="4" s="1"/>
  <c r="G101" i="4" s="1"/>
  <c r="G113" i="4" s="1"/>
  <c r="F17" i="4"/>
  <c r="O17" i="4" s="1"/>
  <c r="G16" i="4"/>
  <c r="G28" i="4" s="1"/>
  <c r="G40" i="4" s="1"/>
  <c r="G52" i="4" s="1"/>
  <c r="G64" i="4" s="1"/>
  <c r="G76" i="4" s="1"/>
  <c r="G88" i="4" s="1"/>
  <c r="G100" i="4" s="1"/>
  <c r="G112" i="4" s="1"/>
  <c r="F16" i="4"/>
  <c r="R16" i="4" s="1"/>
  <c r="G15" i="4"/>
  <c r="G27" i="4" s="1"/>
  <c r="F15" i="4"/>
  <c r="F27" i="4" s="1"/>
  <c r="F39" i="4" s="1"/>
  <c r="R14" i="4"/>
  <c r="R13" i="4"/>
  <c r="D13" i="4"/>
  <c r="R12" i="4"/>
  <c r="D12" i="4"/>
  <c r="R11" i="4"/>
  <c r="R10" i="4"/>
  <c r="R9" i="4"/>
  <c r="C9" i="4"/>
  <c r="C11" i="4" s="1"/>
  <c r="R8" i="4"/>
  <c r="R7" i="4"/>
  <c r="R6" i="4"/>
  <c r="R5" i="4"/>
  <c r="R4" i="4"/>
  <c r="R3" i="4"/>
  <c r="P2" i="4"/>
  <c r="Q2" i="4" s="1"/>
  <c r="Q3" i="2"/>
  <c r="L3" i="2"/>
  <c r="I4" i="2"/>
  <c r="I3" i="2"/>
  <c r="C9" i="2"/>
  <c r="C11" i="2"/>
  <c r="K2" i="2"/>
  <c r="D12" i="2"/>
  <c r="C30" i="3"/>
  <c r="C29" i="3"/>
  <c r="O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H63" i="3"/>
  <c r="J63" i="3" s="1"/>
  <c r="K63" i="3" s="1"/>
  <c r="I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F130" i="3"/>
  <c r="F131" i="3" s="1"/>
  <c r="G39" i="3"/>
  <c r="G51" i="3" s="1"/>
  <c r="G63" i="3" s="1"/>
  <c r="G75" i="3" s="1"/>
  <c r="G87" i="3" s="1"/>
  <c r="G99" i="3" s="1"/>
  <c r="G111" i="3" s="1"/>
  <c r="F38" i="3"/>
  <c r="G35" i="3"/>
  <c r="G47" i="3" s="1"/>
  <c r="G59" i="3" s="1"/>
  <c r="G71" i="3" s="1"/>
  <c r="G83" i="3" s="1"/>
  <c r="G95" i="3" s="1"/>
  <c r="G107" i="3" s="1"/>
  <c r="G119" i="3" s="1"/>
  <c r="F35" i="3"/>
  <c r="G26" i="3"/>
  <c r="G38" i="3" s="1"/>
  <c r="G50" i="3" s="1"/>
  <c r="G62" i="3" s="1"/>
  <c r="G74" i="3" s="1"/>
  <c r="G86" i="3" s="1"/>
  <c r="G98" i="3" s="1"/>
  <c r="G110" i="3" s="1"/>
  <c r="G122" i="3" s="1"/>
  <c r="F26" i="3"/>
  <c r="Q26" i="3" s="1"/>
  <c r="G25" i="3"/>
  <c r="G37" i="3" s="1"/>
  <c r="G49" i="3" s="1"/>
  <c r="G61" i="3" s="1"/>
  <c r="G73" i="3" s="1"/>
  <c r="G85" i="3" s="1"/>
  <c r="G97" i="3" s="1"/>
  <c r="G109" i="3" s="1"/>
  <c r="G121" i="3" s="1"/>
  <c r="F25" i="3"/>
  <c r="Q25" i="3" s="1"/>
  <c r="G24" i="3"/>
  <c r="G36" i="3" s="1"/>
  <c r="G48" i="3" s="1"/>
  <c r="G60" i="3" s="1"/>
  <c r="G72" i="3" s="1"/>
  <c r="G84" i="3" s="1"/>
  <c r="G96" i="3" s="1"/>
  <c r="G108" i="3" s="1"/>
  <c r="G120" i="3" s="1"/>
  <c r="F24" i="3"/>
  <c r="F36" i="3" s="1"/>
  <c r="G23" i="3"/>
  <c r="F23" i="3"/>
  <c r="Q23" i="3" s="1"/>
  <c r="G22" i="3"/>
  <c r="G34" i="3" s="1"/>
  <c r="G46" i="3" s="1"/>
  <c r="G58" i="3" s="1"/>
  <c r="G70" i="3" s="1"/>
  <c r="G82" i="3" s="1"/>
  <c r="G94" i="3" s="1"/>
  <c r="G106" i="3" s="1"/>
  <c r="G118" i="3" s="1"/>
  <c r="F22" i="3"/>
  <c r="F34" i="3" s="1"/>
  <c r="Q34" i="3" s="1"/>
  <c r="G21" i="3"/>
  <c r="G33" i="3" s="1"/>
  <c r="G45" i="3" s="1"/>
  <c r="G57" i="3" s="1"/>
  <c r="G69" i="3" s="1"/>
  <c r="G81" i="3" s="1"/>
  <c r="G93" i="3" s="1"/>
  <c r="G105" i="3" s="1"/>
  <c r="G117" i="3" s="1"/>
  <c r="F21" i="3"/>
  <c r="Q21" i="3" s="1"/>
  <c r="D21" i="3"/>
  <c r="G20" i="3"/>
  <c r="G32" i="3" s="1"/>
  <c r="G44" i="3" s="1"/>
  <c r="G56" i="3" s="1"/>
  <c r="G68" i="3" s="1"/>
  <c r="G80" i="3" s="1"/>
  <c r="G92" i="3" s="1"/>
  <c r="G104" i="3" s="1"/>
  <c r="G116" i="3" s="1"/>
  <c r="F20" i="3"/>
  <c r="F32" i="3" s="1"/>
  <c r="G19" i="3"/>
  <c r="G31" i="3" s="1"/>
  <c r="G43" i="3" s="1"/>
  <c r="G55" i="3" s="1"/>
  <c r="G67" i="3" s="1"/>
  <c r="G79" i="3" s="1"/>
  <c r="G91" i="3" s="1"/>
  <c r="G103" i="3" s="1"/>
  <c r="G115" i="3" s="1"/>
  <c r="F19" i="3"/>
  <c r="F31" i="3" s="1"/>
  <c r="G18" i="3"/>
  <c r="G30" i="3" s="1"/>
  <c r="G42" i="3" s="1"/>
  <c r="G54" i="3" s="1"/>
  <c r="G66" i="3" s="1"/>
  <c r="G78" i="3" s="1"/>
  <c r="G90" i="3" s="1"/>
  <c r="G102" i="3" s="1"/>
  <c r="G114" i="3" s="1"/>
  <c r="F18" i="3"/>
  <c r="Q18" i="3" s="1"/>
  <c r="G17" i="3"/>
  <c r="G29" i="3" s="1"/>
  <c r="G41" i="3" s="1"/>
  <c r="G53" i="3" s="1"/>
  <c r="G65" i="3" s="1"/>
  <c r="G77" i="3" s="1"/>
  <c r="G89" i="3" s="1"/>
  <c r="G101" i="3" s="1"/>
  <c r="G113" i="3" s="1"/>
  <c r="F17" i="3"/>
  <c r="Q17" i="3" s="1"/>
  <c r="G16" i="3"/>
  <c r="G28" i="3" s="1"/>
  <c r="G40" i="3" s="1"/>
  <c r="G52" i="3" s="1"/>
  <c r="G64" i="3" s="1"/>
  <c r="G76" i="3" s="1"/>
  <c r="G88" i="3" s="1"/>
  <c r="G100" i="3" s="1"/>
  <c r="G112" i="3" s="1"/>
  <c r="F16" i="3"/>
  <c r="Q16" i="3" s="1"/>
  <c r="G15" i="3"/>
  <c r="G27" i="3" s="1"/>
  <c r="F15" i="3"/>
  <c r="Q14" i="3"/>
  <c r="Q13" i="3"/>
  <c r="D13" i="3"/>
  <c r="Q12" i="3"/>
  <c r="D12" i="3"/>
  <c r="Q11" i="3"/>
  <c r="Q10" i="3"/>
  <c r="Q9" i="3"/>
  <c r="C9" i="3"/>
  <c r="C11" i="3" s="1"/>
  <c r="L18" i="3" s="1"/>
  <c r="Q8" i="3"/>
  <c r="Q7" i="3"/>
  <c r="Q6" i="3"/>
  <c r="Q5" i="3"/>
  <c r="Q4" i="3"/>
  <c r="Q3" i="3"/>
  <c r="O2" i="3"/>
  <c r="D19" i="1"/>
  <c r="E3" i="1"/>
  <c r="F139" i="2"/>
  <c r="G129" i="2"/>
  <c r="F130" i="2"/>
  <c r="F131" i="2" s="1"/>
  <c r="F132" i="2" s="1"/>
  <c r="F133" i="2" s="1"/>
  <c r="F134" i="2" s="1"/>
  <c r="F135" i="2" s="1"/>
  <c r="F136" i="2" s="1"/>
  <c r="F137" i="2" s="1"/>
  <c r="F138" i="2" s="1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6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52" i="2"/>
  <c r="Q53" i="2"/>
  <c r="Q54" i="2"/>
  <c r="Q55" i="2"/>
  <c r="Q56" i="2"/>
  <c r="Q57" i="2"/>
  <c r="Q58" i="2"/>
  <c r="Q59" i="2"/>
  <c r="Q60" i="2"/>
  <c r="Q61" i="2"/>
  <c r="Q62" i="2"/>
  <c r="D21" i="2"/>
  <c r="F96" i="2"/>
  <c r="F108" i="2" s="1"/>
  <c r="F120" i="2" s="1"/>
  <c r="F84" i="2"/>
  <c r="F82" i="2"/>
  <c r="F94" i="2" s="1"/>
  <c r="F106" i="2" s="1"/>
  <c r="F118" i="2" s="1"/>
  <c r="G80" i="2"/>
  <c r="G92" i="2" s="1"/>
  <c r="G104" i="2" s="1"/>
  <c r="G116" i="2" s="1"/>
  <c r="F80" i="2"/>
  <c r="F92" i="2" s="1"/>
  <c r="F104" i="2" s="1"/>
  <c r="F116" i="2" s="1"/>
  <c r="F72" i="2"/>
  <c r="F71" i="2"/>
  <c r="F83" i="2" s="1"/>
  <c r="F95" i="2" s="1"/>
  <c r="F107" i="2" s="1"/>
  <c r="F119" i="2" s="1"/>
  <c r="F70" i="2"/>
  <c r="G69" i="2"/>
  <c r="G81" i="2" s="1"/>
  <c r="G93" i="2" s="1"/>
  <c r="G105" i="2" s="1"/>
  <c r="G117" i="2" s="1"/>
  <c r="F69" i="2"/>
  <c r="F81" i="2" s="1"/>
  <c r="F93" i="2" s="1"/>
  <c r="G68" i="2"/>
  <c r="F68" i="2"/>
  <c r="G67" i="2"/>
  <c r="G79" i="2" s="1"/>
  <c r="G91" i="2" s="1"/>
  <c r="G103" i="2" s="1"/>
  <c r="G115" i="2" s="1"/>
  <c r="F67" i="2"/>
  <c r="F79" i="2" s="1"/>
  <c r="F91" i="2" s="1"/>
  <c r="F64" i="2"/>
  <c r="F76" i="2" s="1"/>
  <c r="O2" i="2"/>
  <c r="P2" i="2" s="1"/>
  <c r="C11" i="1"/>
  <c r="C12" i="1"/>
  <c r="C13" i="1"/>
  <c r="C14" i="1"/>
  <c r="C15" i="1"/>
  <c r="C16" i="1"/>
  <c r="C17" i="1"/>
  <c r="C18" i="1"/>
  <c r="C19" i="1"/>
  <c r="C10" i="1"/>
  <c r="B9" i="1"/>
  <c r="D32" i="2"/>
  <c r="G16" i="2"/>
  <c r="G28" i="2" s="1"/>
  <c r="G40" i="2" s="1"/>
  <c r="G52" i="2" s="1"/>
  <c r="G64" i="2" s="1"/>
  <c r="G76" i="2" s="1"/>
  <c r="G88" i="2" s="1"/>
  <c r="G100" i="2" s="1"/>
  <c r="G112" i="2" s="1"/>
  <c r="G17" i="2"/>
  <c r="G29" i="2" s="1"/>
  <c r="G41" i="2" s="1"/>
  <c r="G53" i="2" s="1"/>
  <c r="G65" i="2" s="1"/>
  <c r="G77" i="2" s="1"/>
  <c r="G89" i="2" s="1"/>
  <c r="G101" i="2" s="1"/>
  <c r="G113" i="2" s="1"/>
  <c r="G18" i="2"/>
  <c r="G30" i="2" s="1"/>
  <c r="G42" i="2" s="1"/>
  <c r="G54" i="2" s="1"/>
  <c r="G66" i="2" s="1"/>
  <c r="G78" i="2" s="1"/>
  <c r="G90" i="2" s="1"/>
  <c r="G102" i="2" s="1"/>
  <c r="G114" i="2" s="1"/>
  <c r="G19" i="2"/>
  <c r="G31" i="2" s="1"/>
  <c r="G43" i="2" s="1"/>
  <c r="G55" i="2" s="1"/>
  <c r="G20" i="2"/>
  <c r="G32" i="2" s="1"/>
  <c r="G44" i="2" s="1"/>
  <c r="G56" i="2" s="1"/>
  <c r="G21" i="2"/>
  <c r="G33" i="2" s="1"/>
  <c r="G45" i="2" s="1"/>
  <c r="G57" i="2" s="1"/>
  <c r="G22" i="2"/>
  <c r="G34" i="2" s="1"/>
  <c r="G46" i="2" s="1"/>
  <c r="G58" i="2" s="1"/>
  <c r="G70" i="2" s="1"/>
  <c r="G82" i="2" s="1"/>
  <c r="G94" i="2" s="1"/>
  <c r="G106" i="2" s="1"/>
  <c r="G118" i="2" s="1"/>
  <c r="G23" i="2"/>
  <c r="G35" i="2" s="1"/>
  <c r="G47" i="2" s="1"/>
  <c r="G59" i="2" s="1"/>
  <c r="G71" i="2" s="1"/>
  <c r="G83" i="2" s="1"/>
  <c r="G95" i="2" s="1"/>
  <c r="G107" i="2" s="1"/>
  <c r="G119" i="2" s="1"/>
  <c r="G24" i="2"/>
  <c r="G36" i="2" s="1"/>
  <c r="G48" i="2" s="1"/>
  <c r="G60" i="2" s="1"/>
  <c r="G72" i="2" s="1"/>
  <c r="G84" i="2" s="1"/>
  <c r="G96" i="2" s="1"/>
  <c r="G108" i="2" s="1"/>
  <c r="G120" i="2" s="1"/>
  <c r="G25" i="2"/>
  <c r="G37" i="2" s="1"/>
  <c r="G49" i="2" s="1"/>
  <c r="G61" i="2" s="1"/>
  <c r="G73" i="2" s="1"/>
  <c r="G85" i="2" s="1"/>
  <c r="G97" i="2" s="1"/>
  <c r="G109" i="2" s="1"/>
  <c r="G121" i="2" s="1"/>
  <c r="G26" i="2"/>
  <c r="G38" i="2" s="1"/>
  <c r="G50" i="2" s="1"/>
  <c r="G62" i="2" s="1"/>
  <c r="G74" i="2" s="1"/>
  <c r="G86" i="2" s="1"/>
  <c r="G98" i="2" s="1"/>
  <c r="G110" i="2" s="1"/>
  <c r="G122" i="2" s="1"/>
  <c r="G15" i="2"/>
  <c r="G27" i="2" s="1"/>
  <c r="G39" i="2" s="1"/>
  <c r="G51" i="2" s="1"/>
  <c r="G63" i="2" s="1"/>
  <c r="G75" i="2" s="1"/>
  <c r="G87" i="2" s="1"/>
  <c r="G99" i="2" s="1"/>
  <c r="G111" i="2" s="1"/>
  <c r="F16" i="2"/>
  <c r="F28" i="2" s="1"/>
  <c r="F40" i="2" s="1"/>
  <c r="F52" i="2" s="1"/>
  <c r="F17" i="2"/>
  <c r="F29" i="2" s="1"/>
  <c r="F41" i="2" s="1"/>
  <c r="F53" i="2" s="1"/>
  <c r="F65" i="2" s="1"/>
  <c r="F77" i="2" s="1"/>
  <c r="F89" i="2" s="1"/>
  <c r="F18" i="2"/>
  <c r="F30" i="2" s="1"/>
  <c r="F42" i="2" s="1"/>
  <c r="F54" i="2" s="1"/>
  <c r="F66" i="2" s="1"/>
  <c r="F78" i="2" s="1"/>
  <c r="F90" i="2" s="1"/>
  <c r="F102" i="2" s="1"/>
  <c r="F114" i="2" s="1"/>
  <c r="F19" i="2"/>
  <c r="F31" i="2" s="1"/>
  <c r="F43" i="2" s="1"/>
  <c r="F55" i="2" s="1"/>
  <c r="F20" i="2"/>
  <c r="F32" i="2" s="1"/>
  <c r="F44" i="2" s="1"/>
  <c r="F56" i="2" s="1"/>
  <c r="F21" i="2"/>
  <c r="F33" i="2" s="1"/>
  <c r="F45" i="2" s="1"/>
  <c r="F57" i="2" s="1"/>
  <c r="F22" i="2"/>
  <c r="F34" i="2" s="1"/>
  <c r="F46" i="2" s="1"/>
  <c r="F58" i="2" s="1"/>
  <c r="F23" i="2"/>
  <c r="F35" i="2" s="1"/>
  <c r="F47" i="2" s="1"/>
  <c r="F59" i="2" s="1"/>
  <c r="F24" i="2"/>
  <c r="F36" i="2" s="1"/>
  <c r="F48" i="2" s="1"/>
  <c r="F60" i="2" s="1"/>
  <c r="F25" i="2"/>
  <c r="F37" i="2" s="1"/>
  <c r="F49" i="2" s="1"/>
  <c r="F61" i="2" s="1"/>
  <c r="F73" i="2" s="1"/>
  <c r="F85" i="2" s="1"/>
  <c r="F97" i="2" s="1"/>
  <c r="F109" i="2" s="1"/>
  <c r="F121" i="2" s="1"/>
  <c r="F26" i="2"/>
  <c r="F38" i="2" s="1"/>
  <c r="F50" i="2" s="1"/>
  <c r="F62" i="2" s="1"/>
  <c r="F74" i="2" s="1"/>
  <c r="F86" i="2" s="1"/>
  <c r="F98" i="2" s="1"/>
  <c r="F110" i="2" s="1"/>
  <c r="F122" i="2" s="1"/>
  <c r="F15" i="2"/>
  <c r="F27" i="2" s="1"/>
  <c r="F39" i="2" s="1"/>
  <c r="F51" i="2" s="1"/>
  <c r="F63" i="2" s="1"/>
  <c r="F75" i="2" s="1"/>
  <c r="F87" i="2" s="1"/>
  <c r="F99" i="2" s="1"/>
  <c r="F111" i="2" s="1"/>
  <c r="L30" i="1"/>
  <c r="D13" i="2"/>
  <c r="R20" i="8" l="1"/>
  <c r="F35" i="8"/>
  <c r="W35" i="8" s="1"/>
  <c r="F36" i="8"/>
  <c r="F48" i="8" s="1"/>
  <c r="F38" i="8"/>
  <c r="W38" i="8" s="1"/>
  <c r="L8" i="8"/>
  <c r="F32" i="8"/>
  <c r="W32" i="8" s="1"/>
  <c r="W24" i="8"/>
  <c r="L24" i="8" s="1"/>
  <c r="R16" i="8"/>
  <c r="R17" i="8"/>
  <c r="R26" i="8"/>
  <c r="W18" i="8"/>
  <c r="L18" i="8" s="1"/>
  <c r="F29" i="8"/>
  <c r="W29" i="8" s="1"/>
  <c r="W21" i="8"/>
  <c r="L21" i="8" s="1"/>
  <c r="W48" i="8"/>
  <c r="L48" i="8" s="1"/>
  <c r="F60" i="8"/>
  <c r="R48" i="8"/>
  <c r="L20" i="8"/>
  <c r="L11" i="8"/>
  <c r="L17" i="8"/>
  <c r="L6" i="8"/>
  <c r="L14" i="8"/>
  <c r="K2" i="8"/>
  <c r="L3" i="8"/>
  <c r="L9" i="8"/>
  <c r="L4" i="8"/>
  <c r="C14" i="8"/>
  <c r="L7" i="8"/>
  <c r="L12" i="8"/>
  <c r="L15" i="8"/>
  <c r="L38" i="8"/>
  <c r="L25" i="8"/>
  <c r="L35" i="8"/>
  <c r="L22" i="8"/>
  <c r="L10" i="8"/>
  <c r="L5" i="8"/>
  <c r="L26" i="8"/>
  <c r="L19" i="8"/>
  <c r="L16" i="8"/>
  <c r="L13" i="8"/>
  <c r="L29" i="8"/>
  <c r="L23" i="8"/>
  <c r="F132" i="8"/>
  <c r="R23" i="8"/>
  <c r="F28" i="8"/>
  <c r="F47" i="8"/>
  <c r="F31" i="8"/>
  <c r="W36" i="8"/>
  <c r="L36" i="8" s="1"/>
  <c r="F50" i="8"/>
  <c r="R19" i="8"/>
  <c r="F34" i="8"/>
  <c r="F37" i="8"/>
  <c r="R22" i="8"/>
  <c r="F27" i="8"/>
  <c r="R35" i="8"/>
  <c r="R25" i="8"/>
  <c r="R38" i="8"/>
  <c r="F30" i="8"/>
  <c r="R15" i="8"/>
  <c r="F33" i="8"/>
  <c r="F40" i="6"/>
  <c r="F52" i="6" s="1"/>
  <c r="P28" i="6"/>
  <c r="S28" i="6"/>
  <c r="P16" i="6"/>
  <c r="S16" i="6"/>
  <c r="F27" i="6"/>
  <c r="S48" i="6"/>
  <c r="F60" i="6"/>
  <c r="P48" i="6"/>
  <c r="S24" i="6"/>
  <c r="L24" i="6" s="1"/>
  <c r="L6" i="6"/>
  <c r="L3" i="6"/>
  <c r="L28" i="6"/>
  <c r="Y6" i="6"/>
  <c r="L43" i="6"/>
  <c r="L13" i="6"/>
  <c r="P24" i="6"/>
  <c r="S29" i="6"/>
  <c r="L29" i="6" s="1"/>
  <c r="F41" i="6"/>
  <c r="P41" i="6" s="1"/>
  <c r="P27" i="6"/>
  <c r="S21" i="6"/>
  <c r="L21" i="6" s="1"/>
  <c r="P31" i="6"/>
  <c r="P43" i="6"/>
  <c r="P19" i="6"/>
  <c r="S19" i="6"/>
  <c r="L19" i="6" s="1"/>
  <c r="S15" i="6"/>
  <c r="F33" i="6"/>
  <c r="S31" i="6"/>
  <c r="L3" i="7"/>
  <c r="O36" i="7"/>
  <c r="S38" i="7"/>
  <c r="L7" i="7"/>
  <c r="O24" i="7"/>
  <c r="O38" i="7"/>
  <c r="F43" i="7"/>
  <c r="F55" i="7" s="1"/>
  <c r="S48" i="7"/>
  <c r="F60" i="7"/>
  <c r="O48" i="7"/>
  <c r="L48" i="7"/>
  <c r="S33" i="7"/>
  <c r="O33" i="7"/>
  <c r="L33" i="7"/>
  <c r="F45" i="7"/>
  <c r="S43" i="7"/>
  <c r="L43" i="7" s="1"/>
  <c r="O43" i="7"/>
  <c r="S15" i="7"/>
  <c r="L15" i="7" s="1"/>
  <c r="F27" i="7"/>
  <c r="F35" i="7"/>
  <c r="S23" i="7"/>
  <c r="L23" i="7" s="1"/>
  <c r="O15" i="7"/>
  <c r="L12" i="7"/>
  <c r="S16" i="7"/>
  <c r="L16" i="7" s="1"/>
  <c r="O16" i="7"/>
  <c r="S20" i="7"/>
  <c r="L20" i="7" s="1"/>
  <c r="O20" i="7"/>
  <c r="F32" i="7"/>
  <c r="F40" i="7"/>
  <c r="O23" i="7"/>
  <c r="O31" i="7"/>
  <c r="S36" i="7"/>
  <c r="L9" i="7"/>
  <c r="S21" i="7"/>
  <c r="L21" i="7" s="1"/>
  <c r="O21" i="7"/>
  <c r="S25" i="7"/>
  <c r="O25" i="7"/>
  <c r="L24" i="7"/>
  <c r="L19" i="7"/>
  <c r="K2" i="7"/>
  <c r="L10" i="7"/>
  <c r="L37" i="7"/>
  <c r="C14" i="7"/>
  <c r="L8" i="7"/>
  <c r="L6" i="7"/>
  <c r="L4" i="7"/>
  <c r="L62" i="7"/>
  <c r="L50" i="7"/>
  <c r="L13" i="7"/>
  <c r="L31" i="7"/>
  <c r="L11" i="7"/>
  <c r="L14" i="7"/>
  <c r="L5" i="7"/>
  <c r="L26" i="7"/>
  <c r="F30" i="7"/>
  <c r="S18" i="7"/>
  <c r="S37" i="7"/>
  <c r="O37" i="7"/>
  <c r="F49" i="7"/>
  <c r="L38" i="7"/>
  <c r="F74" i="7"/>
  <c r="Q74" i="7" s="1"/>
  <c r="F131" i="7"/>
  <c r="S22" i="7"/>
  <c r="L22" i="7" s="1"/>
  <c r="O22" i="7"/>
  <c r="F34" i="7"/>
  <c r="S17" i="7"/>
  <c r="O17" i="7"/>
  <c r="F29" i="7"/>
  <c r="S22" i="6"/>
  <c r="P22" i="6"/>
  <c r="F34" i="6"/>
  <c r="S33" i="6"/>
  <c r="L33" i="6" s="1"/>
  <c r="F45" i="6"/>
  <c r="S18" i="6"/>
  <c r="F30" i="6"/>
  <c r="P18" i="6"/>
  <c r="P33" i="6"/>
  <c r="F72" i="6"/>
  <c r="L72" i="6" s="1"/>
  <c r="S60" i="6"/>
  <c r="P60" i="6"/>
  <c r="F38" i="6"/>
  <c r="S26" i="6"/>
  <c r="K2" i="6"/>
  <c r="L12" i="6"/>
  <c r="L10" i="6"/>
  <c r="L15" i="6"/>
  <c r="L48" i="6"/>
  <c r="L23" i="6"/>
  <c r="L7" i="6"/>
  <c r="L14" i="6"/>
  <c r="L9" i="6"/>
  <c r="L16" i="6"/>
  <c r="C14" i="6"/>
  <c r="L4" i="6"/>
  <c r="L11" i="6"/>
  <c r="L31" i="6"/>
  <c r="L26" i="6"/>
  <c r="L8" i="6"/>
  <c r="P26" i="6"/>
  <c r="S52" i="6"/>
  <c r="L52" i="6" s="1"/>
  <c r="P52" i="6"/>
  <c r="F64" i="6"/>
  <c r="L64" i="6" s="1"/>
  <c r="F55" i="6"/>
  <c r="L5" i="6"/>
  <c r="S20" i="6"/>
  <c r="P20" i="6"/>
  <c r="F32" i="6"/>
  <c r="P36" i="6"/>
  <c r="P29" i="6"/>
  <c r="S36" i="6"/>
  <c r="L36" i="6" s="1"/>
  <c r="S25" i="6"/>
  <c r="L25" i="6" s="1"/>
  <c r="P25" i="6"/>
  <c r="F37" i="6"/>
  <c r="S40" i="6"/>
  <c r="P40" i="6"/>
  <c r="F35" i="6"/>
  <c r="S17" i="6"/>
  <c r="P17" i="6"/>
  <c r="Q20" i="5"/>
  <c r="Q18" i="5"/>
  <c r="Q25" i="5"/>
  <c r="L8" i="5"/>
  <c r="Q23" i="5"/>
  <c r="Q21" i="5"/>
  <c r="Q17" i="5"/>
  <c r="L4" i="5"/>
  <c r="L22" i="4"/>
  <c r="L34" i="4"/>
  <c r="L25" i="4"/>
  <c r="F44" i="4"/>
  <c r="O32" i="4"/>
  <c r="R20" i="4"/>
  <c r="L20" i="4" s="1"/>
  <c r="O25" i="4"/>
  <c r="O26" i="4"/>
  <c r="R24" i="4"/>
  <c r="L24" i="4" s="1"/>
  <c r="O18" i="4"/>
  <c r="F37" i="4"/>
  <c r="O37" i="4" s="1"/>
  <c r="F28" i="4"/>
  <c r="O24" i="4"/>
  <c r="F30" i="4"/>
  <c r="O30" i="4" s="1"/>
  <c r="O27" i="4"/>
  <c r="O36" i="4"/>
  <c r="O16" i="4"/>
  <c r="F31" i="4"/>
  <c r="F48" i="4"/>
  <c r="O48" i="4" s="1"/>
  <c r="R26" i="4"/>
  <c r="F50" i="4"/>
  <c r="O50" i="4" s="1"/>
  <c r="R15" i="4"/>
  <c r="L15" i="4" s="1"/>
  <c r="F33" i="4"/>
  <c r="F41" i="5"/>
  <c r="V41" i="5" s="1"/>
  <c r="Q29" i="5"/>
  <c r="V22" i="5"/>
  <c r="L22" i="5" s="1"/>
  <c r="V15" i="5"/>
  <c r="L15" i="5" s="1"/>
  <c r="Q16" i="5"/>
  <c r="Q37" i="5"/>
  <c r="Q15" i="5"/>
  <c r="V17" i="5"/>
  <c r="L17" i="5" s="1"/>
  <c r="V25" i="5"/>
  <c r="L25" i="5" s="1"/>
  <c r="F32" i="5"/>
  <c r="Q27" i="5"/>
  <c r="Q22" i="5"/>
  <c r="F132" i="5"/>
  <c r="F31" i="5"/>
  <c r="V19" i="5"/>
  <c r="F49" i="5"/>
  <c r="V34" i="5"/>
  <c r="L34" i="5" s="1"/>
  <c r="L20" i="5"/>
  <c r="L27" i="5"/>
  <c r="F39" i="5"/>
  <c r="K2" i="5"/>
  <c r="L13" i="5"/>
  <c r="L23" i="5"/>
  <c r="L18" i="5"/>
  <c r="L11" i="5"/>
  <c r="L9" i="5"/>
  <c r="L7" i="5"/>
  <c r="L5" i="5"/>
  <c r="L3" i="5"/>
  <c r="L14" i="5"/>
  <c r="L21" i="5"/>
  <c r="L16" i="5"/>
  <c r="L12" i="5"/>
  <c r="L6" i="5"/>
  <c r="F46" i="5"/>
  <c r="F36" i="5"/>
  <c r="V24" i="5"/>
  <c r="C14" i="5"/>
  <c r="V29" i="5"/>
  <c r="L10" i="5"/>
  <c r="V26" i="5"/>
  <c r="F38" i="5"/>
  <c r="L37" i="5"/>
  <c r="F28" i="5"/>
  <c r="F33" i="5"/>
  <c r="F30" i="5"/>
  <c r="F35" i="5"/>
  <c r="F47" i="4"/>
  <c r="O47" i="4" s="1"/>
  <c r="R35" i="4"/>
  <c r="L35" i="4" s="1"/>
  <c r="L14" i="4"/>
  <c r="L12" i="4"/>
  <c r="L10" i="4"/>
  <c r="L23" i="4"/>
  <c r="C14" i="4"/>
  <c r="L3" i="4"/>
  <c r="L21" i="4"/>
  <c r="L9" i="4"/>
  <c r="L26" i="4"/>
  <c r="L16" i="4"/>
  <c r="K2" i="4"/>
  <c r="L36" i="4"/>
  <c r="L6" i="4"/>
  <c r="L11" i="4"/>
  <c r="L18" i="4"/>
  <c r="L38" i="4"/>
  <c r="L5" i="4"/>
  <c r="L8" i="4"/>
  <c r="L13" i="4"/>
  <c r="L37" i="4"/>
  <c r="L17" i="4"/>
  <c r="L7" i="4"/>
  <c r="L27" i="4"/>
  <c r="R50" i="4"/>
  <c r="F62" i="4"/>
  <c r="O62" i="4" s="1"/>
  <c r="L4" i="4"/>
  <c r="R39" i="4"/>
  <c r="L39" i="4" s="1"/>
  <c r="F51" i="4"/>
  <c r="O51" i="4" s="1"/>
  <c r="L19" i="4"/>
  <c r="F49" i="4"/>
  <c r="O49" i="4" s="1"/>
  <c r="R37" i="4"/>
  <c r="R32" i="4"/>
  <c r="L32" i="4" s="1"/>
  <c r="F132" i="4"/>
  <c r="F58" i="4"/>
  <c r="O58" i="4" s="1"/>
  <c r="R46" i="4"/>
  <c r="L46" i="4" s="1"/>
  <c r="F29" i="4"/>
  <c r="O29" i="4" s="1"/>
  <c r="R17" i="4"/>
  <c r="I64" i="3"/>
  <c r="J64" i="3" s="1"/>
  <c r="K64" i="3"/>
  <c r="F28" i="3"/>
  <c r="F30" i="3"/>
  <c r="F42" i="3" s="1"/>
  <c r="F54" i="3" s="1"/>
  <c r="L13" i="3"/>
  <c r="Q30" i="3"/>
  <c r="L5" i="3"/>
  <c r="F37" i="3"/>
  <c r="F49" i="3" s="1"/>
  <c r="Q19" i="3"/>
  <c r="L19" i="3" s="1"/>
  <c r="L12" i="3"/>
  <c r="L4" i="3"/>
  <c r="L34" i="3"/>
  <c r="L6" i="3"/>
  <c r="Q22" i="3"/>
  <c r="L22" i="3" s="1"/>
  <c r="L16" i="3"/>
  <c r="L7" i="3"/>
  <c r="L8" i="3"/>
  <c r="L17" i="3"/>
  <c r="Q24" i="3"/>
  <c r="F46" i="3"/>
  <c r="Q46" i="3" s="1"/>
  <c r="L10" i="3"/>
  <c r="P2" i="3"/>
  <c r="L24" i="3"/>
  <c r="F33" i="3"/>
  <c r="L21" i="3"/>
  <c r="F50" i="3"/>
  <c r="Q38" i="3"/>
  <c r="Q28" i="3"/>
  <c r="F40" i="3"/>
  <c r="L25" i="3"/>
  <c r="F47" i="3"/>
  <c r="Q35" i="3"/>
  <c r="L35" i="3"/>
  <c r="Q36" i="3"/>
  <c r="L36" i="3"/>
  <c r="F48" i="3"/>
  <c r="Q32" i="3"/>
  <c r="F44" i="3"/>
  <c r="L23" i="3"/>
  <c r="C14" i="3"/>
  <c r="L3" i="3"/>
  <c r="L15" i="3"/>
  <c r="L9" i="3"/>
  <c r="L14" i="3"/>
  <c r="L11" i="3"/>
  <c r="L32" i="3"/>
  <c r="L31" i="3"/>
  <c r="F29" i="3"/>
  <c r="F58" i="3"/>
  <c r="F27" i="3"/>
  <c r="Q15" i="3"/>
  <c r="Q20" i="3"/>
  <c r="K2" i="3"/>
  <c r="L26" i="3"/>
  <c r="F43" i="3"/>
  <c r="Q31" i="3"/>
  <c r="F132" i="3"/>
  <c r="Q51" i="2"/>
  <c r="Q29" i="2"/>
  <c r="Q50" i="2"/>
  <c r="Q28" i="2"/>
  <c r="Q27" i="2"/>
  <c r="Q49" i="2"/>
  <c r="Q48" i="2"/>
  <c r="Q26" i="2"/>
  <c r="Q47" i="2"/>
  <c r="Q25" i="2"/>
  <c r="F101" i="2"/>
  <c r="F113" i="2" s="1"/>
  <c r="F103" i="2"/>
  <c r="F115" i="2" s="1"/>
  <c r="F105" i="2"/>
  <c r="F117" i="2" s="1"/>
  <c r="F88" i="2"/>
  <c r="F100" i="2" s="1"/>
  <c r="F112" i="2" s="1"/>
  <c r="B10" i="1"/>
  <c r="B11" i="1" s="1"/>
  <c r="B12" i="1" s="1"/>
  <c r="B13" i="1" s="1"/>
  <c r="B14" i="1" s="1"/>
  <c r="B15" i="1" s="1"/>
  <c r="D10" i="1"/>
  <c r="D14" i="1"/>
  <c r="D13" i="1"/>
  <c r="D12" i="1"/>
  <c r="D11" i="1"/>
  <c r="L4" i="2"/>
  <c r="L5" i="2"/>
  <c r="C14" i="2"/>
  <c r="H4" i="2" s="1"/>
  <c r="R37" i="5" l="1"/>
  <c r="R17" i="5"/>
  <c r="R23" i="5"/>
  <c r="R29" i="8"/>
  <c r="F44" i="8"/>
  <c r="F41" i="8"/>
  <c r="R36" i="8"/>
  <c r="R32" i="8"/>
  <c r="L32" i="8"/>
  <c r="H98" i="8"/>
  <c r="H119" i="8"/>
  <c r="H86" i="8"/>
  <c r="H75" i="8"/>
  <c r="H104" i="8"/>
  <c r="H103" i="8"/>
  <c r="H81" i="8"/>
  <c r="H102" i="8"/>
  <c r="H69" i="8"/>
  <c r="H101" i="8"/>
  <c r="H122" i="8"/>
  <c r="H111" i="8"/>
  <c r="H100" i="8"/>
  <c r="H89" i="8"/>
  <c r="H78" i="8"/>
  <c r="H67" i="8"/>
  <c r="H65" i="8"/>
  <c r="H93" i="8"/>
  <c r="H70" i="8"/>
  <c r="H80" i="8"/>
  <c r="H68" i="8"/>
  <c r="H87" i="8"/>
  <c r="H71" i="8"/>
  <c r="H91" i="8"/>
  <c r="H79" i="8"/>
  <c r="H121" i="8"/>
  <c r="H110" i="8"/>
  <c r="H99" i="8"/>
  <c r="H88" i="8"/>
  <c r="H77" i="8"/>
  <c r="H66" i="8"/>
  <c r="H109" i="8"/>
  <c r="H108" i="8"/>
  <c r="H64" i="8"/>
  <c r="H115" i="8"/>
  <c r="H114" i="8"/>
  <c r="H113" i="8"/>
  <c r="H112" i="8"/>
  <c r="H120" i="8"/>
  <c r="H76" i="8"/>
  <c r="H97" i="8"/>
  <c r="H118" i="8"/>
  <c r="H107" i="8"/>
  <c r="H96" i="8"/>
  <c r="H85" i="8"/>
  <c r="H74" i="8"/>
  <c r="H117" i="8"/>
  <c r="H106" i="8"/>
  <c r="H95" i="8"/>
  <c r="H84" i="8"/>
  <c r="H73" i="8"/>
  <c r="H116" i="8"/>
  <c r="H105" i="8"/>
  <c r="H94" i="8"/>
  <c r="H83" i="8"/>
  <c r="H72" i="8"/>
  <c r="H82" i="8"/>
  <c r="H90" i="8"/>
  <c r="H63" i="8"/>
  <c r="H92" i="8"/>
  <c r="F133" i="8"/>
  <c r="W37" i="8"/>
  <c r="R37" i="8"/>
  <c r="F49" i="8"/>
  <c r="W44" i="8"/>
  <c r="R44" i="8"/>
  <c r="F56" i="8"/>
  <c r="H45" i="8"/>
  <c r="H42" i="8"/>
  <c r="H3" i="8"/>
  <c r="O3" i="8" s="1"/>
  <c r="H61" i="8"/>
  <c r="H39" i="8"/>
  <c r="H26" i="8"/>
  <c r="O26" i="8" s="1"/>
  <c r="H8" i="8"/>
  <c r="O8" i="8" s="1"/>
  <c r="H23" i="8"/>
  <c r="O23" i="8" s="1"/>
  <c r="H58" i="8"/>
  <c r="H36" i="8"/>
  <c r="O36" i="8" s="1"/>
  <c r="H55" i="8"/>
  <c r="H33" i="8"/>
  <c r="H52" i="8"/>
  <c r="H20" i="8"/>
  <c r="O20" i="8" s="1"/>
  <c r="H11" i="8"/>
  <c r="O11" i="8" s="1"/>
  <c r="H54" i="8"/>
  <c r="H19" i="8"/>
  <c r="O19" i="8" s="1"/>
  <c r="H49" i="8"/>
  <c r="H30" i="8"/>
  <c r="H17" i="8"/>
  <c r="O17" i="8" s="1"/>
  <c r="H6" i="8"/>
  <c r="O6" i="8" s="1"/>
  <c r="H46" i="8"/>
  <c r="H14" i="8"/>
  <c r="O14" i="8" s="1"/>
  <c r="H43" i="8"/>
  <c r="H62" i="8"/>
  <c r="H40" i="8"/>
  <c r="H27" i="8"/>
  <c r="H59" i="8"/>
  <c r="H37" i="8"/>
  <c r="H24" i="8"/>
  <c r="O24" i="8" s="1"/>
  <c r="H9" i="8"/>
  <c r="O9" i="8" s="1"/>
  <c r="H4" i="8"/>
  <c r="O4" i="8" s="1"/>
  <c r="H56" i="8"/>
  <c r="H34" i="8"/>
  <c r="O34" i="8" s="1"/>
  <c r="H21" i="8"/>
  <c r="O21" i="8" s="1"/>
  <c r="H53" i="8"/>
  <c r="H50" i="8"/>
  <c r="H31" i="8"/>
  <c r="H18" i="8"/>
  <c r="O18" i="8" s="1"/>
  <c r="H12" i="8"/>
  <c r="O12" i="8" s="1"/>
  <c r="H47" i="8"/>
  <c r="H15" i="8"/>
  <c r="O15" i="8" s="1"/>
  <c r="H32" i="8"/>
  <c r="H10" i="8"/>
  <c r="O10" i="8" s="1"/>
  <c r="H44" i="8"/>
  <c r="H7" i="8"/>
  <c r="O7" i="8" s="1"/>
  <c r="H5" i="8"/>
  <c r="O5" i="8" s="1"/>
  <c r="H51" i="8"/>
  <c r="H41" i="8"/>
  <c r="H28" i="8"/>
  <c r="H60" i="8"/>
  <c r="H38" i="8"/>
  <c r="O38" i="8" s="1"/>
  <c r="H25" i="8"/>
  <c r="O25" i="8" s="1"/>
  <c r="H57" i="8"/>
  <c r="H35" i="8"/>
  <c r="O35" i="8" s="1"/>
  <c r="H22" i="8"/>
  <c r="O22" i="8" s="1"/>
  <c r="H48" i="8"/>
  <c r="O48" i="8" s="1"/>
  <c r="H16" i="8"/>
  <c r="O16" i="8" s="1"/>
  <c r="H13" i="8"/>
  <c r="O13" i="8" s="1"/>
  <c r="H29" i="8"/>
  <c r="O29" i="8" s="1"/>
  <c r="F45" i="8"/>
  <c r="R33" i="8"/>
  <c r="W33" i="8"/>
  <c r="R27" i="8"/>
  <c r="F39" i="8"/>
  <c r="W27" i="8"/>
  <c r="W34" i="8"/>
  <c r="R34" i="8"/>
  <c r="F46" i="8"/>
  <c r="W31" i="8"/>
  <c r="R31" i="8"/>
  <c r="F43" i="8"/>
  <c r="W41" i="8"/>
  <c r="R41" i="8"/>
  <c r="F53" i="8"/>
  <c r="W28" i="8"/>
  <c r="R28" i="8"/>
  <c r="F40" i="8"/>
  <c r="I3" i="8"/>
  <c r="W60" i="8"/>
  <c r="R60" i="8"/>
  <c r="F72" i="8"/>
  <c r="F42" i="8"/>
  <c r="W30" i="8"/>
  <c r="R30" i="8"/>
  <c r="W50" i="8"/>
  <c r="R50" i="8"/>
  <c r="F62" i="8"/>
  <c r="L34" i="8"/>
  <c r="W47" i="8"/>
  <c r="R47" i="8"/>
  <c r="F59" i="8"/>
  <c r="S27" i="6"/>
  <c r="L27" i="6" s="1"/>
  <c r="F39" i="6"/>
  <c r="H233" i="6"/>
  <c r="H222" i="6"/>
  <c r="H211" i="6"/>
  <c r="H200" i="6"/>
  <c r="H189" i="6"/>
  <c r="H178" i="6"/>
  <c r="H167" i="6"/>
  <c r="H156" i="6"/>
  <c r="H145" i="6"/>
  <c r="H134" i="6"/>
  <c r="H94" i="6"/>
  <c r="H83" i="6"/>
  <c r="H152" i="6"/>
  <c r="H183" i="6"/>
  <c r="H68" i="6"/>
  <c r="H226" i="6"/>
  <c r="H204" i="6"/>
  <c r="H182" i="6"/>
  <c r="H171" i="6"/>
  <c r="H149" i="6"/>
  <c r="H138" i="6"/>
  <c r="H100" i="6"/>
  <c r="H236" i="6"/>
  <c r="H214" i="6"/>
  <c r="H181" i="6"/>
  <c r="H170" i="6"/>
  <c r="H148" i="6"/>
  <c r="H137" i="6"/>
  <c r="H123" i="6"/>
  <c r="H118" i="6"/>
  <c r="H107" i="6"/>
  <c r="H96" i="6"/>
  <c r="H85" i="6"/>
  <c r="H74" i="6"/>
  <c r="H73" i="6"/>
  <c r="H72" i="6"/>
  <c r="Q72" i="6" s="1"/>
  <c r="H208" i="6"/>
  <c r="H164" i="6"/>
  <c r="H104" i="6"/>
  <c r="H93" i="6"/>
  <c r="H82" i="6"/>
  <c r="H71" i="6"/>
  <c r="H205" i="6"/>
  <c r="H112" i="6"/>
  <c r="H101" i="6"/>
  <c r="H90" i="6"/>
  <c r="H79" i="6"/>
  <c r="H215" i="6"/>
  <c r="H122" i="6"/>
  <c r="H111" i="6"/>
  <c r="H89" i="6"/>
  <c r="H78" i="6"/>
  <c r="H67" i="6"/>
  <c r="H203" i="6"/>
  <c r="H126" i="6"/>
  <c r="H232" i="6"/>
  <c r="H221" i="6"/>
  <c r="H210" i="6"/>
  <c r="H199" i="6"/>
  <c r="H188" i="6"/>
  <c r="H177" i="6"/>
  <c r="H166" i="6"/>
  <c r="H155" i="6"/>
  <c r="H144" i="6"/>
  <c r="H133" i="6"/>
  <c r="H63" i="6"/>
  <c r="H117" i="6"/>
  <c r="H106" i="6"/>
  <c r="H95" i="6"/>
  <c r="H84" i="6"/>
  <c r="H105" i="6"/>
  <c r="H241" i="6"/>
  <c r="H230" i="6"/>
  <c r="H219" i="6"/>
  <c r="H197" i="6"/>
  <c r="H186" i="6"/>
  <c r="H175" i="6"/>
  <c r="H153" i="6"/>
  <c r="H142" i="6"/>
  <c r="H131" i="6"/>
  <c r="H240" i="6"/>
  <c r="H229" i="6"/>
  <c r="H218" i="6"/>
  <c r="H207" i="6"/>
  <c r="H196" i="6"/>
  <c r="H185" i="6"/>
  <c r="H174" i="6"/>
  <c r="H163" i="6"/>
  <c r="H141" i="6"/>
  <c r="H130" i="6"/>
  <c r="H128" i="6"/>
  <c r="H237" i="6"/>
  <c r="H193" i="6"/>
  <c r="H160" i="6"/>
  <c r="H127" i="6"/>
  <c r="H225" i="6"/>
  <c r="H192" i="6"/>
  <c r="H159" i="6"/>
  <c r="H242" i="6"/>
  <c r="H231" i="6"/>
  <c r="H220" i="6"/>
  <c r="H209" i="6"/>
  <c r="H198" i="6"/>
  <c r="H187" i="6"/>
  <c r="H176" i="6"/>
  <c r="H165" i="6"/>
  <c r="H154" i="6"/>
  <c r="H143" i="6"/>
  <c r="H132" i="6"/>
  <c r="H116" i="6"/>
  <c r="H115" i="6"/>
  <c r="H114" i="6"/>
  <c r="H103" i="6"/>
  <c r="H92" i="6"/>
  <c r="H81" i="6"/>
  <c r="H70" i="6"/>
  <c r="H239" i="6"/>
  <c r="H228" i="6"/>
  <c r="H217" i="6"/>
  <c r="H206" i="6"/>
  <c r="H195" i="6"/>
  <c r="H184" i="6"/>
  <c r="H173" i="6"/>
  <c r="H162" i="6"/>
  <c r="H151" i="6"/>
  <c r="H140" i="6"/>
  <c r="H129" i="6"/>
  <c r="H113" i="6"/>
  <c r="H102" i="6"/>
  <c r="H91" i="6"/>
  <c r="H80" i="6"/>
  <c r="H69" i="6"/>
  <c r="H238" i="6"/>
  <c r="H227" i="6"/>
  <c r="H216" i="6"/>
  <c r="H194" i="6"/>
  <c r="H172" i="6"/>
  <c r="H161" i="6"/>
  <c r="H150" i="6"/>
  <c r="H139" i="6"/>
  <c r="H169" i="6"/>
  <c r="H124" i="6"/>
  <c r="H108" i="6"/>
  <c r="H99" i="6"/>
  <c r="H224" i="6"/>
  <c r="H168" i="6"/>
  <c r="H110" i="6"/>
  <c r="H179" i="6"/>
  <c r="H98" i="6"/>
  <c r="H223" i="6"/>
  <c r="H201" i="6"/>
  <c r="H109" i="6"/>
  <c r="H158" i="6"/>
  <c r="H97" i="6"/>
  <c r="H87" i="6"/>
  <c r="H120" i="6"/>
  <c r="H190" i="6"/>
  <c r="H65" i="6"/>
  <c r="H235" i="6"/>
  <c r="H64" i="6"/>
  <c r="H234" i="6"/>
  <c r="H213" i="6"/>
  <c r="H88" i="6"/>
  <c r="H157" i="6"/>
  <c r="H212" i="6"/>
  <c r="H121" i="6"/>
  <c r="H76" i="6"/>
  <c r="H191" i="6"/>
  <c r="H75" i="6"/>
  <c r="H202" i="6"/>
  <c r="H147" i="6"/>
  <c r="H86" i="6"/>
  <c r="H77" i="6"/>
  <c r="H146" i="6"/>
  <c r="H136" i="6"/>
  <c r="H66" i="6"/>
  <c r="H125" i="6"/>
  <c r="H135" i="6"/>
  <c r="H119" i="6"/>
  <c r="H180" i="6"/>
  <c r="S41" i="6"/>
  <c r="L41" i="6" s="1"/>
  <c r="F53" i="6"/>
  <c r="P53" i="6" s="1"/>
  <c r="H83" i="7"/>
  <c r="H93" i="7"/>
  <c r="H122" i="7"/>
  <c r="H111" i="7"/>
  <c r="H100" i="7"/>
  <c r="H89" i="7"/>
  <c r="H78" i="7"/>
  <c r="H67" i="7"/>
  <c r="H119" i="7"/>
  <c r="H64" i="7"/>
  <c r="H118" i="7"/>
  <c r="H105" i="7"/>
  <c r="H104" i="7"/>
  <c r="H85" i="7"/>
  <c r="H121" i="7"/>
  <c r="H110" i="7"/>
  <c r="H99" i="7"/>
  <c r="H88" i="7"/>
  <c r="H77" i="7"/>
  <c r="H66" i="7"/>
  <c r="H108" i="7"/>
  <c r="H75" i="7"/>
  <c r="H107" i="7"/>
  <c r="H94" i="7"/>
  <c r="H115" i="7"/>
  <c r="H97" i="7"/>
  <c r="H120" i="7"/>
  <c r="H109" i="7"/>
  <c r="H98" i="7"/>
  <c r="H87" i="7"/>
  <c r="H76" i="7"/>
  <c r="H65" i="7"/>
  <c r="H86" i="7"/>
  <c r="H72" i="7"/>
  <c r="H71" i="7"/>
  <c r="H96" i="7"/>
  <c r="H74" i="7"/>
  <c r="H116" i="7"/>
  <c r="H63" i="7"/>
  <c r="H117" i="7"/>
  <c r="H106" i="7"/>
  <c r="H95" i="7"/>
  <c r="H84" i="7"/>
  <c r="H73" i="7"/>
  <c r="H3" i="7"/>
  <c r="H82" i="7"/>
  <c r="H101" i="7"/>
  <c r="H114" i="7"/>
  <c r="H103" i="7"/>
  <c r="H92" i="7"/>
  <c r="H81" i="7"/>
  <c r="H70" i="7"/>
  <c r="H113" i="7"/>
  <c r="H102" i="7"/>
  <c r="H91" i="7"/>
  <c r="H80" i="7"/>
  <c r="H69" i="7"/>
  <c r="H112" i="7"/>
  <c r="H90" i="7"/>
  <c r="H79" i="7"/>
  <c r="H68" i="7"/>
  <c r="F46" i="7"/>
  <c r="S34" i="7"/>
  <c r="L34" i="7"/>
  <c r="O34" i="7"/>
  <c r="H41" i="7"/>
  <c r="H26" i="7"/>
  <c r="H51" i="7"/>
  <c r="H56" i="7"/>
  <c r="H34" i="7"/>
  <c r="H14" i="7"/>
  <c r="H61" i="7"/>
  <c r="H39" i="7"/>
  <c r="H29" i="7"/>
  <c r="H24" i="7"/>
  <c r="H19" i="7"/>
  <c r="H44" i="7"/>
  <c r="H12" i="7"/>
  <c r="H49" i="7"/>
  <c r="H59" i="7"/>
  <c r="H37" i="7"/>
  <c r="H22" i="7"/>
  <c r="H17" i="7"/>
  <c r="H8" i="7"/>
  <c r="H6" i="7"/>
  <c r="H4" i="7"/>
  <c r="H52" i="7"/>
  <c r="H60" i="7"/>
  <c r="H38" i="7"/>
  <c r="H23" i="7"/>
  <c r="H18" i="7"/>
  <c r="H11" i="7"/>
  <c r="H50" i="7"/>
  <c r="H27" i="7"/>
  <c r="H62" i="7"/>
  <c r="H53" i="7"/>
  <c r="H35" i="7"/>
  <c r="H32" i="7"/>
  <c r="H46" i="7"/>
  <c r="H40" i="7"/>
  <c r="H5" i="7"/>
  <c r="H43" i="7"/>
  <c r="H58" i="7"/>
  <c r="H25" i="7"/>
  <c r="H15" i="7"/>
  <c r="H33" i="7"/>
  <c r="H9" i="7"/>
  <c r="H48" i="7"/>
  <c r="H10" i="7"/>
  <c r="H42" i="7"/>
  <c r="H21" i="7"/>
  <c r="H30" i="7"/>
  <c r="H57" i="7"/>
  <c r="H47" i="7"/>
  <c r="H28" i="7"/>
  <c r="H13" i="7"/>
  <c r="H20" i="7"/>
  <c r="H16" i="7"/>
  <c r="H55" i="7"/>
  <c r="H45" i="7"/>
  <c r="H36" i="7"/>
  <c r="H31" i="7"/>
  <c r="H7" i="7"/>
  <c r="H54" i="7"/>
  <c r="L17" i="7"/>
  <c r="S40" i="7"/>
  <c r="O40" i="7"/>
  <c r="F52" i="7"/>
  <c r="L25" i="7"/>
  <c r="S35" i="7"/>
  <c r="L35" i="7" s="1"/>
  <c r="F47" i="7"/>
  <c r="O35" i="7"/>
  <c r="F132" i="7"/>
  <c r="O32" i="7"/>
  <c r="F44" i="7"/>
  <c r="S32" i="7"/>
  <c r="S30" i="7"/>
  <c r="L30" i="7" s="1"/>
  <c r="F42" i="7"/>
  <c r="O30" i="7"/>
  <c r="O27" i="7"/>
  <c r="F39" i="7"/>
  <c r="S27" i="7"/>
  <c r="O74" i="7"/>
  <c r="N74" i="7"/>
  <c r="F86" i="7"/>
  <c r="Q86" i="7" s="1"/>
  <c r="S45" i="7"/>
  <c r="L45" i="7" s="1"/>
  <c r="F57" i="7"/>
  <c r="O45" i="7"/>
  <c r="S55" i="7"/>
  <c r="O55" i="7"/>
  <c r="F67" i="7"/>
  <c r="Q67" i="7" s="1"/>
  <c r="F72" i="7"/>
  <c r="Q72" i="7" s="1"/>
  <c r="S60" i="7"/>
  <c r="O60" i="7"/>
  <c r="L36" i="7"/>
  <c r="I3" i="7"/>
  <c r="F61" i="7"/>
  <c r="S49" i="7"/>
  <c r="O49" i="7"/>
  <c r="F41" i="7"/>
  <c r="S29" i="7"/>
  <c r="L29" i="7" s="1"/>
  <c r="O29" i="7"/>
  <c r="L18" i="7"/>
  <c r="L30" i="6"/>
  <c r="Q30" i="6" s="1"/>
  <c r="S32" i="6"/>
  <c r="L32" i="6" s="1"/>
  <c r="P32" i="6"/>
  <c r="F44" i="6"/>
  <c r="I3" i="6"/>
  <c r="AE3" i="6" s="1"/>
  <c r="F76" i="6"/>
  <c r="L76" i="6" s="1"/>
  <c r="P64" i="6"/>
  <c r="Q64" i="6"/>
  <c r="P72" i="6"/>
  <c r="F84" i="6"/>
  <c r="L84" i="6" s="1"/>
  <c r="L40" i="6"/>
  <c r="Q40" i="6" s="1"/>
  <c r="Q36" i="6"/>
  <c r="Q14" i="6"/>
  <c r="Q3" i="6"/>
  <c r="L20" i="6"/>
  <c r="S55" i="6"/>
  <c r="F67" i="6"/>
  <c r="L67" i="6" s="1"/>
  <c r="P55" i="6"/>
  <c r="F65" i="6"/>
  <c r="L65" i="6" s="1"/>
  <c r="L17" i="6"/>
  <c r="S35" i="6"/>
  <c r="L35" i="6" s="1"/>
  <c r="F47" i="6"/>
  <c r="P35" i="6"/>
  <c r="F42" i="6"/>
  <c r="S30" i="6"/>
  <c r="P30" i="6"/>
  <c r="P45" i="6"/>
  <c r="S45" i="6"/>
  <c r="L45" i="6" s="1"/>
  <c r="F57" i="6"/>
  <c r="F46" i="6"/>
  <c r="P34" i="6"/>
  <c r="S34" i="6"/>
  <c r="S37" i="6"/>
  <c r="P37" i="6"/>
  <c r="F49" i="6"/>
  <c r="L22" i="6"/>
  <c r="Q22" i="6" s="1"/>
  <c r="H41" i="6"/>
  <c r="H26" i="6"/>
  <c r="Q26" i="6" s="1"/>
  <c r="H46" i="6"/>
  <c r="H56" i="6"/>
  <c r="H34" i="6"/>
  <c r="H14" i="6"/>
  <c r="H39" i="6"/>
  <c r="H61" i="6"/>
  <c r="H29" i="6"/>
  <c r="Q29" i="6" s="1"/>
  <c r="H44" i="6"/>
  <c r="H12" i="6"/>
  <c r="H59" i="6"/>
  <c r="H37" i="6"/>
  <c r="H22" i="6"/>
  <c r="H17" i="6"/>
  <c r="H8" i="6"/>
  <c r="H6" i="6"/>
  <c r="H4" i="6"/>
  <c r="H42" i="6"/>
  <c r="H27" i="6"/>
  <c r="H47" i="6"/>
  <c r="H62" i="6"/>
  <c r="H28" i="6"/>
  <c r="H51" i="6"/>
  <c r="H43" i="6"/>
  <c r="H30" i="6"/>
  <c r="H19" i="6"/>
  <c r="H10" i="6"/>
  <c r="Q10" i="6" s="1"/>
  <c r="H40" i="6"/>
  <c r="H21" i="6"/>
  <c r="H5" i="6"/>
  <c r="Q5" i="6" s="1"/>
  <c r="H48" i="6"/>
  <c r="H32" i="6"/>
  <c r="H23" i="6"/>
  <c r="H25" i="6"/>
  <c r="H53" i="6"/>
  <c r="H58" i="6"/>
  <c r="H52" i="6"/>
  <c r="H45" i="6"/>
  <c r="H7" i="6"/>
  <c r="H50" i="6"/>
  <c r="H9" i="6"/>
  <c r="Q9" i="6" s="1"/>
  <c r="H18" i="6"/>
  <c r="H55" i="6"/>
  <c r="H16" i="6"/>
  <c r="Q16" i="6" s="1"/>
  <c r="H24" i="6"/>
  <c r="Q24" i="6" s="1"/>
  <c r="H11" i="6"/>
  <c r="Q11" i="6" s="1"/>
  <c r="H57" i="6"/>
  <c r="H49" i="6"/>
  <c r="H36" i="6"/>
  <c r="H31" i="6"/>
  <c r="Q31" i="6" s="1"/>
  <c r="H60" i="6"/>
  <c r="H13" i="6"/>
  <c r="H38" i="6"/>
  <c r="H15" i="6"/>
  <c r="H35" i="6"/>
  <c r="H3" i="6"/>
  <c r="H33" i="6"/>
  <c r="H20" i="6"/>
  <c r="H54" i="6"/>
  <c r="S38" i="6"/>
  <c r="F50" i="6"/>
  <c r="P38" i="6"/>
  <c r="L18" i="6"/>
  <c r="L60" i="6"/>
  <c r="Q39" i="5"/>
  <c r="Q36" i="5"/>
  <c r="Q35" i="5"/>
  <c r="Q30" i="5"/>
  <c r="Q33" i="5"/>
  <c r="Q28" i="5"/>
  <c r="Q38" i="5"/>
  <c r="Q41" i="5"/>
  <c r="Q49" i="5"/>
  <c r="Q46" i="5"/>
  <c r="Q31" i="5"/>
  <c r="F53" i="5"/>
  <c r="V53" i="5" s="1"/>
  <c r="L41" i="5"/>
  <c r="R28" i="4"/>
  <c r="F40" i="4"/>
  <c r="O28" i="4"/>
  <c r="L28" i="4"/>
  <c r="F56" i="4"/>
  <c r="O44" i="4"/>
  <c r="R44" i="4"/>
  <c r="L44" i="4" s="1"/>
  <c r="F42" i="4"/>
  <c r="O42" i="4" s="1"/>
  <c r="F43" i="4"/>
  <c r="O31" i="4"/>
  <c r="R31" i="4"/>
  <c r="L31" i="4"/>
  <c r="R30" i="4"/>
  <c r="L30" i="4" s="1"/>
  <c r="R48" i="4"/>
  <c r="L48" i="4" s="1"/>
  <c r="F45" i="4"/>
  <c r="O33" i="4"/>
  <c r="F60" i="4"/>
  <c r="O60" i="4" s="1"/>
  <c r="R33" i="4"/>
  <c r="V32" i="5"/>
  <c r="L32" i="5" s="1"/>
  <c r="Q32" i="5"/>
  <c r="F44" i="5"/>
  <c r="V28" i="5"/>
  <c r="L28" i="5" s="1"/>
  <c r="F40" i="5"/>
  <c r="V39" i="5"/>
  <c r="F51" i="5"/>
  <c r="L39" i="5"/>
  <c r="F50" i="5"/>
  <c r="V38" i="5"/>
  <c r="H47" i="5"/>
  <c r="H41" i="5"/>
  <c r="H52" i="5"/>
  <c r="H16" i="5"/>
  <c r="N16" i="5" s="1"/>
  <c r="R16" i="5" s="1"/>
  <c r="H57" i="5"/>
  <c r="H35" i="5"/>
  <c r="H30" i="5"/>
  <c r="N30" i="5" s="1"/>
  <c r="H15" i="5"/>
  <c r="N15" i="5" s="1"/>
  <c r="R15" i="5" s="1"/>
  <c r="H62" i="5"/>
  <c r="H40" i="5"/>
  <c r="H25" i="5"/>
  <c r="N25" i="5" s="1"/>
  <c r="R25" i="5" s="1"/>
  <c r="H20" i="5"/>
  <c r="N20" i="5" s="1"/>
  <c r="R20" i="5" s="1"/>
  <c r="H45" i="5"/>
  <c r="H50" i="5"/>
  <c r="H13" i="5"/>
  <c r="N13" i="5" s="1"/>
  <c r="R13" i="5" s="1"/>
  <c r="H26" i="5"/>
  <c r="H55" i="5"/>
  <c r="H33" i="5"/>
  <c r="H60" i="5"/>
  <c r="H38" i="5"/>
  <c r="H23" i="5"/>
  <c r="N23" i="5" s="1"/>
  <c r="H18" i="5"/>
  <c r="N18" i="5" s="1"/>
  <c r="R18" i="5" s="1"/>
  <c r="H11" i="5"/>
  <c r="N11" i="5" s="1"/>
  <c r="R11" i="5" s="1"/>
  <c r="H43" i="5"/>
  <c r="H28" i="5"/>
  <c r="H9" i="5"/>
  <c r="N9" i="5" s="1"/>
  <c r="R9" i="5" s="1"/>
  <c r="H48" i="5"/>
  <c r="H7" i="5"/>
  <c r="N7" i="5" s="1"/>
  <c r="R7" i="5" s="1"/>
  <c r="H5" i="5"/>
  <c r="N5" i="5" s="1"/>
  <c r="R5" i="5" s="1"/>
  <c r="H3" i="5"/>
  <c r="N3" i="5" s="1"/>
  <c r="R3" i="5" s="1"/>
  <c r="P3" i="5" s="1"/>
  <c r="P4" i="5" s="1"/>
  <c r="P5" i="5" s="1"/>
  <c r="H31" i="5"/>
  <c r="H46" i="5"/>
  <c r="H53" i="5"/>
  <c r="H58" i="5"/>
  <c r="H36" i="5"/>
  <c r="H21" i="5"/>
  <c r="N21" i="5" s="1"/>
  <c r="R21" i="5" s="1"/>
  <c r="H51" i="5"/>
  <c r="H37" i="5"/>
  <c r="N37" i="5" s="1"/>
  <c r="H17" i="5"/>
  <c r="N17" i="5" s="1"/>
  <c r="H10" i="5"/>
  <c r="N10" i="5" s="1"/>
  <c r="R10" i="5" s="1"/>
  <c r="H19" i="5"/>
  <c r="H56" i="5"/>
  <c r="H14" i="5"/>
  <c r="N14" i="5" s="1"/>
  <c r="R14" i="5" s="1"/>
  <c r="H8" i="5"/>
  <c r="N8" i="5" s="1"/>
  <c r="R8" i="5" s="1"/>
  <c r="H24" i="5"/>
  <c r="N24" i="5" s="1"/>
  <c r="R24" i="5" s="1"/>
  <c r="H42" i="5"/>
  <c r="H32" i="5"/>
  <c r="H27" i="5"/>
  <c r="N27" i="5" s="1"/>
  <c r="R27" i="5" s="1"/>
  <c r="H49" i="5"/>
  <c r="H29" i="5"/>
  <c r="N29" i="5" s="1"/>
  <c r="R29" i="5" s="1"/>
  <c r="H61" i="5"/>
  <c r="H59" i="5"/>
  <c r="H6" i="5"/>
  <c r="N6" i="5" s="1"/>
  <c r="R6" i="5" s="1"/>
  <c r="H54" i="5"/>
  <c r="H22" i="5"/>
  <c r="N22" i="5" s="1"/>
  <c r="R22" i="5" s="1"/>
  <c r="H34" i="5"/>
  <c r="N34" i="5" s="1"/>
  <c r="R34" i="5" s="1"/>
  <c r="H12" i="5"/>
  <c r="N12" i="5" s="1"/>
  <c r="R12" i="5" s="1"/>
  <c r="H44" i="5"/>
  <c r="H39" i="5"/>
  <c r="N39" i="5" s="1"/>
  <c r="H4" i="5"/>
  <c r="N4" i="5" s="1"/>
  <c r="R4" i="5" s="1"/>
  <c r="V31" i="5"/>
  <c r="F43" i="5"/>
  <c r="L26" i="5"/>
  <c r="L24" i="5"/>
  <c r="F47" i="5"/>
  <c r="V35" i="5"/>
  <c r="F42" i="5"/>
  <c r="V30" i="5"/>
  <c r="L30" i="5" s="1"/>
  <c r="V36" i="5"/>
  <c r="F48" i="5"/>
  <c r="F45" i="5"/>
  <c r="V33" i="5"/>
  <c r="I3" i="5"/>
  <c r="V49" i="5"/>
  <c r="F61" i="5"/>
  <c r="F133" i="5"/>
  <c r="F58" i="5"/>
  <c r="V46" i="5"/>
  <c r="L46" i="5" s="1"/>
  <c r="L19" i="5"/>
  <c r="L29" i="5"/>
  <c r="I3" i="4"/>
  <c r="F74" i="4"/>
  <c r="R62" i="4"/>
  <c r="R47" i="4"/>
  <c r="F59" i="4"/>
  <c r="O59" i="4" s="1"/>
  <c r="H58" i="4"/>
  <c r="H47" i="4"/>
  <c r="H36" i="4"/>
  <c r="H18" i="4"/>
  <c r="H54" i="4"/>
  <c r="H43" i="4"/>
  <c r="H32" i="4"/>
  <c r="H27" i="4"/>
  <c r="H6" i="4"/>
  <c r="H12" i="4"/>
  <c r="H56" i="4"/>
  <c r="H45" i="4"/>
  <c r="H34" i="4"/>
  <c r="H16" i="4"/>
  <c r="H14" i="4"/>
  <c r="H10" i="4"/>
  <c r="H25" i="4"/>
  <c r="H8" i="4"/>
  <c r="H23" i="4"/>
  <c r="H52" i="4"/>
  <c r="H4" i="4"/>
  <c r="H17" i="4"/>
  <c r="H62" i="4"/>
  <c r="H46" i="4"/>
  <c r="H24" i="4"/>
  <c r="H31" i="4"/>
  <c r="H21" i="4"/>
  <c r="H51" i="4"/>
  <c r="H61" i="4"/>
  <c r="H33" i="4"/>
  <c r="H30" i="4"/>
  <c r="H11" i="4"/>
  <c r="H50" i="4"/>
  <c r="H41" i="4"/>
  <c r="H19" i="4"/>
  <c r="H3" i="4"/>
  <c r="H49" i="4"/>
  <c r="H29" i="4"/>
  <c r="H59" i="4"/>
  <c r="H9" i="4"/>
  <c r="H26" i="4"/>
  <c r="H48" i="4"/>
  <c r="H38" i="4"/>
  <c r="H53" i="4"/>
  <c r="H28" i="4"/>
  <c r="H55" i="4"/>
  <c r="H44" i="4"/>
  <c r="H42" i="4"/>
  <c r="H37" i="4"/>
  <c r="H60" i="4"/>
  <c r="H20" i="4"/>
  <c r="H7" i="4"/>
  <c r="H35" i="4"/>
  <c r="H13" i="4"/>
  <c r="H57" i="4"/>
  <c r="H5" i="4"/>
  <c r="H40" i="4"/>
  <c r="H39" i="4"/>
  <c r="H15" i="4"/>
  <c r="H22" i="4"/>
  <c r="F41" i="4"/>
  <c r="O41" i="4" s="1"/>
  <c r="R29" i="4"/>
  <c r="L29" i="4" s="1"/>
  <c r="R58" i="4"/>
  <c r="F70" i="4"/>
  <c r="F61" i="4"/>
  <c r="O61" i="4" s="1"/>
  <c r="R49" i="4"/>
  <c r="R51" i="4"/>
  <c r="F63" i="4"/>
  <c r="L33" i="4"/>
  <c r="F133" i="4"/>
  <c r="F72" i="4"/>
  <c r="R60" i="4"/>
  <c r="L50" i="4"/>
  <c r="I65" i="3"/>
  <c r="J65" i="3" s="1"/>
  <c r="K65" i="3"/>
  <c r="Q37" i="3"/>
  <c r="Q42" i="3"/>
  <c r="L42" i="3" s="1"/>
  <c r="O42" i="3" s="1"/>
  <c r="L30" i="3"/>
  <c r="Q49" i="3"/>
  <c r="L49" i="3" s="1"/>
  <c r="F61" i="3"/>
  <c r="Q61" i="3" s="1"/>
  <c r="I3" i="3"/>
  <c r="L37" i="3"/>
  <c r="Q54" i="3"/>
  <c r="L54" i="3" s="1"/>
  <c r="O54" i="3" s="1"/>
  <c r="F66" i="3"/>
  <c r="Q48" i="3"/>
  <c r="L48" i="3" s="1"/>
  <c r="F60" i="3"/>
  <c r="L20" i="3"/>
  <c r="H27" i="3"/>
  <c r="H6" i="3"/>
  <c r="H56" i="3"/>
  <c r="H45" i="3"/>
  <c r="H34" i="3"/>
  <c r="H16" i="3"/>
  <c r="H54" i="3"/>
  <c r="H43" i="3"/>
  <c r="H32" i="3"/>
  <c r="H14" i="3"/>
  <c r="H12" i="3"/>
  <c r="H10" i="3"/>
  <c r="H23" i="3"/>
  <c r="O23" i="3" s="1"/>
  <c r="H52" i="3"/>
  <c r="H41" i="3"/>
  <c r="H59" i="3"/>
  <c r="H48" i="3"/>
  <c r="H37" i="3"/>
  <c r="H19" i="3"/>
  <c r="O19" i="3" s="1"/>
  <c r="H31" i="3"/>
  <c r="O31" i="3" s="1"/>
  <c r="H22" i="3"/>
  <c r="H38" i="3"/>
  <c r="H35" i="3"/>
  <c r="H3" i="3"/>
  <c r="H24" i="3"/>
  <c r="O24" i="3" s="1"/>
  <c r="H40" i="3"/>
  <c r="H15" i="3"/>
  <c r="H9" i="3"/>
  <c r="H62" i="3"/>
  <c r="H58" i="3"/>
  <c r="H61" i="3"/>
  <c r="H47" i="3"/>
  <c r="H33" i="3"/>
  <c r="H26" i="3"/>
  <c r="H50" i="3"/>
  <c r="H57" i="3"/>
  <c r="H46" i="3"/>
  <c r="H39" i="3"/>
  <c r="H36" i="3"/>
  <c r="H29" i="3"/>
  <c r="H8" i="3"/>
  <c r="H53" i="3"/>
  <c r="H49" i="3"/>
  <c r="H60" i="3"/>
  <c r="H42" i="3"/>
  <c r="H55" i="3"/>
  <c r="H51" i="3"/>
  <c r="H30" i="3"/>
  <c r="H11" i="3"/>
  <c r="H44" i="3"/>
  <c r="H5" i="3"/>
  <c r="H18" i="3"/>
  <c r="H28" i="3"/>
  <c r="H17" i="3"/>
  <c r="H13" i="3"/>
  <c r="H21" i="3"/>
  <c r="O21" i="3" s="1"/>
  <c r="H25" i="3"/>
  <c r="H4" i="3"/>
  <c r="H20" i="3"/>
  <c r="H7" i="3"/>
  <c r="F39" i="3"/>
  <c r="Q27" i="3"/>
  <c r="F59" i="3"/>
  <c r="Q47" i="3"/>
  <c r="Q58" i="3"/>
  <c r="F70" i="3"/>
  <c r="L58" i="3"/>
  <c r="Q50" i="3"/>
  <c r="F62" i="3"/>
  <c r="F133" i="3"/>
  <c r="L38" i="3"/>
  <c r="F45" i="3"/>
  <c r="Q33" i="3"/>
  <c r="F41" i="3"/>
  <c r="Q29" i="3"/>
  <c r="L29" i="3"/>
  <c r="L46" i="3"/>
  <c r="F56" i="3"/>
  <c r="Q44" i="3"/>
  <c r="Q43" i="3"/>
  <c r="F55" i="3"/>
  <c r="O14" i="3"/>
  <c r="L27" i="3"/>
  <c r="L28" i="3"/>
  <c r="Q40" i="3"/>
  <c r="L40" i="3" s="1"/>
  <c r="F52" i="3"/>
  <c r="B16" i="1"/>
  <c r="D15" i="1"/>
  <c r="E10" i="1"/>
  <c r="E11" i="1" s="1"/>
  <c r="E12" i="1" s="1"/>
  <c r="E13" i="1" s="1"/>
  <c r="E14" i="1" s="1"/>
  <c r="E15" i="1" s="1"/>
  <c r="O4" i="2"/>
  <c r="H62" i="2"/>
  <c r="H61" i="2"/>
  <c r="H40" i="2"/>
  <c r="H45" i="2"/>
  <c r="H27" i="2"/>
  <c r="H59" i="2"/>
  <c r="H41" i="2"/>
  <c r="H43" i="2"/>
  <c r="H46" i="2"/>
  <c r="H25" i="2"/>
  <c r="H48" i="2"/>
  <c r="H28" i="2"/>
  <c r="H50" i="2"/>
  <c r="H51" i="2"/>
  <c r="H30" i="2"/>
  <c r="H31" i="2"/>
  <c r="H32" i="2"/>
  <c r="H33" i="2"/>
  <c r="H35" i="2"/>
  <c r="H36" i="2"/>
  <c r="H37" i="2"/>
  <c r="H38" i="2"/>
  <c r="H42" i="2"/>
  <c r="H44" i="2"/>
  <c r="H24" i="2"/>
  <c r="H47" i="2"/>
  <c r="H53" i="2"/>
  <c r="H54" i="2"/>
  <c r="H34" i="2"/>
  <c r="H57" i="2"/>
  <c r="H58" i="2"/>
  <c r="H60" i="2"/>
  <c r="H39" i="2"/>
  <c r="H29" i="2"/>
  <c r="H56" i="2"/>
  <c r="H26" i="2"/>
  <c r="H49" i="2"/>
  <c r="H52" i="2"/>
  <c r="H55" i="2"/>
  <c r="H3" i="2"/>
  <c r="H5" i="2"/>
  <c r="O5" i="2" s="1"/>
  <c r="H8" i="2"/>
  <c r="H9" i="2"/>
  <c r="H10" i="2"/>
  <c r="H11" i="2"/>
  <c r="H12" i="2"/>
  <c r="H13" i="2"/>
  <c r="H15" i="2"/>
  <c r="H18" i="2"/>
  <c r="H19" i="2"/>
  <c r="H21" i="2"/>
  <c r="H22" i="2"/>
  <c r="H23" i="2"/>
  <c r="H7" i="2"/>
  <c r="H17" i="2"/>
  <c r="H20" i="2"/>
  <c r="H14" i="2"/>
  <c r="H16" i="2"/>
  <c r="H6" i="2"/>
  <c r="L6" i="2"/>
  <c r="O6" i="2" s="1"/>
  <c r="O32" i="8" l="1"/>
  <c r="N46" i="5"/>
  <c r="R46" i="5"/>
  <c r="P6" i="5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N51" i="5"/>
  <c r="N44" i="5"/>
  <c r="N61" i="5"/>
  <c r="R30" i="5"/>
  <c r="N28" i="5"/>
  <c r="R28" i="5" s="1"/>
  <c r="N42" i="5"/>
  <c r="N36" i="5"/>
  <c r="R36" i="5" s="1"/>
  <c r="N45" i="5"/>
  <c r="N32" i="5"/>
  <c r="R32" i="5" s="1"/>
  <c r="R39" i="5"/>
  <c r="N41" i="5"/>
  <c r="R41" i="5" s="1"/>
  <c r="N47" i="5"/>
  <c r="F65" i="5"/>
  <c r="N38" i="5"/>
  <c r="R38" i="5" s="1"/>
  <c r="N19" i="5"/>
  <c r="R19" i="5" s="1"/>
  <c r="N26" i="5"/>
  <c r="R26" i="5" s="1"/>
  <c r="N72" i="8"/>
  <c r="L72" i="8" s="1"/>
  <c r="W72" i="8"/>
  <c r="S3" i="8"/>
  <c r="Q3" i="8" s="1"/>
  <c r="J3" i="8"/>
  <c r="K3" i="8" s="1"/>
  <c r="F84" i="8"/>
  <c r="R72" i="8"/>
  <c r="M72" i="8"/>
  <c r="S14" i="8"/>
  <c r="S10" i="8"/>
  <c r="W42" i="8"/>
  <c r="R42" i="8"/>
  <c r="F54" i="8"/>
  <c r="L60" i="8"/>
  <c r="O60" i="8" s="1"/>
  <c r="S60" i="8" s="1"/>
  <c r="S15" i="8"/>
  <c r="R40" i="8"/>
  <c r="F52" i="8"/>
  <c r="W40" i="8"/>
  <c r="L40" i="8" s="1"/>
  <c r="O40" i="8" s="1"/>
  <c r="W45" i="8"/>
  <c r="L45" i="8" s="1"/>
  <c r="O45" i="8" s="1"/>
  <c r="R45" i="8"/>
  <c r="F57" i="8"/>
  <c r="S12" i="8"/>
  <c r="F68" i="8"/>
  <c r="W56" i="8"/>
  <c r="R56" i="8"/>
  <c r="L56" i="8"/>
  <c r="O56" i="8" s="1"/>
  <c r="S29" i="8"/>
  <c r="S7" i="8"/>
  <c r="W59" i="8"/>
  <c r="R59" i="8"/>
  <c r="F71" i="8"/>
  <c r="L59" i="8"/>
  <c r="O59" i="8" s="1"/>
  <c r="S16" i="8"/>
  <c r="S20" i="8"/>
  <c r="L27" i="8"/>
  <c r="O27" i="8" s="1"/>
  <c r="F51" i="8"/>
  <c r="W39" i="8"/>
  <c r="R39" i="8"/>
  <c r="L39" i="8"/>
  <c r="O39" i="8" s="1"/>
  <c r="S6" i="8"/>
  <c r="S19" i="8"/>
  <c r="F65" i="8"/>
  <c r="W53" i="8"/>
  <c r="R53" i="8"/>
  <c r="S13" i="8"/>
  <c r="S11" i="8"/>
  <c r="F61" i="8"/>
  <c r="W49" i="8"/>
  <c r="L49" i="8" s="1"/>
  <c r="O49" i="8" s="1"/>
  <c r="R49" i="8"/>
  <c r="S48" i="8"/>
  <c r="S21" i="8"/>
  <c r="L37" i="8"/>
  <c r="S5" i="8"/>
  <c r="R43" i="8"/>
  <c r="F55" i="8"/>
  <c r="W43" i="8"/>
  <c r="L43" i="8" s="1"/>
  <c r="O43" i="8" s="1"/>
  <c r="R62" i="8"/>
  <c r="F74" i="8"/>
  <c r="W62" i="8"/>
  <c r="L62" i="8"/>
  <c r="O62" i="8" s="1"/>
  <c r="L31" i="8"/>
  <c r="S25" i="8"/>
  <c r="S9" i="8"/>
  <c r="L33" i="8"/>
  <c r="O33" i="8" s="1"/>
  <c r="L47" i="8"/>
  <c r="O47" i="8" s="1"/>
  <c r="S47" i="8" s="1"/>
  <c r="S35" i="8"/>
  <c r="S4" i="8"/>
  <c r="R46" i="8"/>
  <c r="F58" i="8"/>
  <c r="W46" i="8"/>
  <c r="L46" i="8"/>
  <c r="O46" i="8" s="1"/>
  <c r="S38" i="8"/>
  <c r="S24" i="8"/>
  <c r="S23" i="8"/>
  <c r="L41" i="8"/>
  <c r="O41" i="8" s="1"/>
  <c r="S17" i="8"/>
  <c r="L50" i="8"/>
  <c r="S8" i="8"/>
  <c r="L44" i="8"/>
  <c r="O44" i="8" s="1"/>
  <c r="S32" i="8"/>
  <c r="S22" i="8"/>
  <c r="S36" i="8"/>
  <c r="S26" i="8"/>
  <c r="L30" i="8"/>
  <c r="S18" i="8"/>
  <c r="S34" i="8"/>
  <c r="F134" i="8"/>
  <c r="L28" i="8"/>
  <c r="O28" i="8" s="1"/>
  <c r="Q45" i="6"/>
  <c r="Q41" i="6"/>
  <c r="Q35" i="6"/>
  <c r="Q17" i="6"/>
  <c r="S53" i="6"/>
  <c r="F51" i="6"/>
  <c r="P39" i="6"/>
  <c r="S39" i="6"/>
  <c r="L39" i="6" s="1"/>
  <c r="Q39" i="6" s="1"/>
  <c r="Q32" i="6"/>
  <c r="Q18" i="6"/>
  <c r="J3" i="6"/>
  <c r="K3" i="6" s="1"/>
  <c r="T3" i="6" s="1"/>
  <c r="F51" i="7"/>
  <c r="O39" i="7"/>
  <c r="S39" i="7"/>
  <c r="L39" i="7"/>
  <c r="S47" i="7"/>
  <c r="O47" i="7"/>
  <c r="F59" i="7"/>
  <c r="L47" i="7"/>
  <c r="O42" i="7"/>
  <c r="F54" i="7"/>
  <c r="S42" i="7"/>
  <c r="L42" i="7" s="1"/>
  <c r="L32" i="7"/>
  <c r="L49" i="7"/>
  <c r="O67" i="7"/>
  <c r="N67" i="7"/>
  <c r="F79" i="7"/>
  <c r="Q79" i="7" s="1"/>
  <c r="O44" i="7"/>
  <c r="F56" i="7"/>
  <c r="S44" i="7"/>
  <c r="L44" i="7" s="1"/>
  <c r="F73" i="7"/>
  <c r="Q73" i="7" s="1"/>
  <c r="S61" i="7"/>
  <c r="O61" i="7"/>
  <c r="L61" i="7"/>
  <c r="L55" i="7"/>
  <c r="L27" i="7"/>
  <c r="S52" i="7"/>
  <c r="O52" i="7"/>
  <c r="F64" i="7"/>
  <c r="Q64" i="7" s="1"/>
  <c r="L52" i="7"/>
  <c r="F53" i="7"/>
  <c r="O41" i="7"/>
  <c r="S41" i="7"/>
  <c r="L41" i="7" s="1"/>
  <c r="F69" i="7"/>
  <c r="Q69" i="7" s="1"/>
  <c r="S57" i="7"/>
  <c r="O57" i="7"/>
  <c r="L57" i="7"/>
  <c r="N86" i="7"/>
  <c r="F98" i="7"/>
  <c r="Q98" i="7" s="1"/>
  <c r="O86" i="7"/>
  <c r="F133" i="7"/>
  <c r="J3" i="7"/>
  <c r="K3" i="7" s="1"/>
  <c r="S46" i="7"/>
  <c r="O46" i="7"/>
  <c r="F58" i="7"/>
  <c r="L46" i="7"/>
  <c r="L60" i="7"/>
  <c r="L40" i="7"/>
  <c r="O72" i="7"/>
  <c r="F84" i="7"/>
  <c r="Q84" i="7" s="1"/>
  <c r="N72" i="7"/>
  <c r="I4" i="6"/>
  <c r="AE4" i="6" s="1"/>
  <c r="S42" i="6"/>
  <c r="L42" i="6" s="1"/>
  <c r="P42" i="6"/>
  <c r="F54" i="6"/>
  <c r="R3" i="6"/>
  <c r="L38" i="6"/>
  <c r="Q38" i="6" s="1"/>
  <c r="Q6" i="6"/>
  <c r="L37" i="6"/>
  <c r="Q37" i="6" s="1"/>
  <c r="F88" i="6"/>
  <c r="L88" i="6" s="1"/>
  <c r="P76" i="6"/>
  <c r="Q76" i="6"/>
  <c r="P49" i="6"/>
  <c r="F61" i="6"/>
  <c r="S49" i="6"/>
  <c r="L49" i="6" s="1"/>
  <c r="Q49" i="6" s="1"/>
  <c r="P47" i="6"/>
  <c r="F59" i="6"/>
  <c r="S47" i="6"/>
  <c r="L47" i="6"/>
  <c r="Q47" i="6" s="1"/>
  <c r="L34" i="6"/>
  <c r="Q34" i="6" s="1"/>
  <c r="Q13" i="6"/>
  <c r="L55" i="6"/>
  <c r="Q55" i="6" s="1"/>
  <c r="Q8" i="6"/>
  <c r="F79" i="6"/>
  <c r="L79" i="6" s="1"/>
  <c r="P67" i="6"/>
  <c r="Q67" i="6"/>
  <c r="Q21" i="6"/>
  <c r="Q23" i="6"/>
  <c r="F69" i="6"/>
  <c r="L69" i="6" s="1"/>
  <c r="S57" i="6"/>
  <c r="P57" i="6"/>
  <c r="L57" i="6"/>
  <c r="Q57" i="6" s="1"/>
  <c r="Q48" i="6"/>
  <c r="Q12" i="6"/>
  <c r="P44" i="6"/>
  <c r="F56" i="6"/>
  <c r="S44" i="6"/>
  <c r="L44" i="6"/>
  <c r="Q44" i="6" s="1"/>
  <c r="P50" i="6"/>
  <c r="F62" i="6"/>
  <c r="S50" i="6"/>
  <c r="L50" i="6" s="1"/>
  <c r="Q50" i="6" s="1"/>
  <c r="Q7" i="6"/>
  <c r="P65" i="6"/>
  <c r="F77" i="6"/>
  <c r="L77" i="6" s="1"/>
  <c r="Q65" i="6"/>
  <c r="Q33" i="6"/>
  <c r="Q19" i="6"/>
  <c r="P84" i="6"/>
  <c r="F96" i="6"/>
  <c r="L96" i="6" s="1"/>
  <c r="Q27" i="6"/>
  <c r="L53" i="6"/>
  <c r="Q53" i="6" s="1"/>
  <c r="F58" i="6"/>
  <c r="P46" i="6"/>
  <c r="S46" i="6"/>
  <c r="L46" i="6"/>
  <c r="Q46" i="6" s="1"/>
  <c r="Q43" i="6"/>
  <c r="Q15" i="6"/>
  <c r="Q4" i="6"/>
  <c r="Q60" i="6"/>
  <c r="Q28" i="6"/>
  <c r="Q20" i="6"/>
  <c r="Q25" i="6"/>
  <c r="Q52" i="6"/>
  <c r="Q47" i="5"/>
  <c r="R47" i="5" s="1"/>
  <c r="Q61" i="5"/>
  <c r="R61" i="5" s="1"/>
  <c r="Q45" i="5"/>
  <c r="Q42" i="5"/>
  <c r="R42" i="5" s="1"/>
  <c r="Q48" i="5"/>
  <c r="Q43" i="5"/>
  <c r="Q51" i="5"/>
  <c r="Q40" i="5"/>
  <c r="Q50" i="5"/>
  <c r="Q58" i="5"/>
  <c r="Q53" i="5"/>
  <c r="R42" i="4"/>
  <c r="L42" i="4" s="1"/>
  <c r="R56" i="4"/>
  <c r="O56" i="4"/>
  <c r="F68" i="4"/>
  <c r="F80" i="4" s="1"/>
  <c r="F92" i="4" s="1"/>
  <c r="F104" i="4" s="1"/>
  <c r="L56" i="4"/>
  <c r="O40" i="4"/>
  <c r="R40" i="4"/>
  <c r="F52" i="4"/>
  <c r="F54" i="4"/>
  <c r="O54" i="4" s="1"/>
  <c r="O43" i="4"/>
  <c r="R43" i="4"/>
  <c r="F55" i="4"/>
  <c r="L43" i="4"/>
  <c r="F57" i="4"/>
  <c r="O45" i="4"/>
  <c r="R45" i="4"/>
  <c r="L45" i="4"/>
  <c r="L40" i="4"/>
  <c r="J3" i="4"/>
  <c r="K3" i="4" s="1"/>
  <c r="S3" i="4" s="1"/>
  <c r="Q44" i="5"/>
  <c r="V44" i="5"/>
  <c r="F56" i="5"/>
  <c r="L44" i="5"/>
  <c r="V42" i="5"/>
  <c r="L42" i="5" s="1"/>
  <c r="F54" i="5"/>
  <c r="L38" i="5"/>
  <c r="F70" i="5"/>
  <c r="V58" i="5"/>
  <c r="L58" i="5"/>
  <c r="N58" i="5" s="1"/>
  <c r="J3" i="5"/>
  <c r="K3" i="5" s="1"/>
  <c r="F62" i="5"/>
  <c r="V50" i="5"/>
  <c r="L49" i="5"/>
  <c r="N49" i="5" s="1"/>
  <c r="R49" i="5" s="1"/>
  <c r="F52" i="5"/>
  <c r="V40" i="5"/>
  <c r="L40" i="5" s="1"/>
  <c r="N40" i="5" s="1"/>
  <c r="V43" i="5"/>
  <c r="F55" i="5"/>
  <c r="L43" i="5"/>
  <c r="N43" i="5" s="1"/>
  <c r="F73" i="5"/>
  <c r="V61" i="5"/>
  <c r="L61" i="5"/>
  <c r="F134" i="5"/>
  <c r="V51" i="5"/>
  <c r="L51" i="5" s="1"/>
  <c r="F63" i="5"/>
  <c r="F59" i="5"/>
  <c r="V47" i="5"/>
  <c r="L47" i="5" s="1"/>
  <c r="F57" i="5"/>
  <c r="V45" i="5"/>
  <c r="L45" i="5" s="1"/>
  <c r="V48" i="5"/>
  <c r="F60" i="5"/>
  <c r="L48" i="5"/>
  <c r="N48" i="5" s="1"/>
  <c r="L31" i="5"/>
  <c r="N31" i="5" s="1"/>
  <c r="R31" i="5" s="1"/>
  <c r="L35" i="5"/>
  <c r="N35" i="5" s="1"/>
  <c r="R35" i="5" s="1"/>
  <c r="L33" i="5"/>
  <c r="N33" i="5" s="1"/>
  <c r="R33" i="5" s="1"/>
  <c r="L53" i="5"/>
  <c r="N53" i="5" s="1"/>
  <c r="L36" i="5"/>
  <c r="F134" i="4"/>
  <c r="F82" i="4"/>
  <c r="F86" i="4"/>
  <c r="R41" i="4"/>
  <c r="F53" i="4"/>
  <c r="O53" i="4" s="1"/>
  <c r="L41" i="4"/>
  <c r="F84" i="4"/>
  <c r="L51" i="4"/>
  <c r="L60" i="4"/>
  <c r="L49" i="4"/>
  <c r="F71" i="4"/>
  <c r="R59" i="4"/>
  <c r="L59" i="4" s="1"/>
  <c r="L47" i="4"/>
  <c r="F75" i="4"/>
  <c r="F116" i="4"/>
  <c r="L58" i="4"/>
  <c r="L62" i="4"/>
  <c r="R54" i="4"/>
  <c r="F66" i="4"/>
  <c r="L54" i="4"/>
  <c r="R61" i="4"/>
  <c r="F73" i="4"/>
  <c r="I66" i="3"/>
  <c r="J66" i="3" s="1"/>
  <c r="K66" i="3"/>
  <c r="O46" i="3"/>
  <c r="J3" i="3"/>
  <c r="K3" i="3" s="1"/>
  <c r="R3" i="3" s="1"/>
  <c r="O58" i="3"/>
  <c r="O28" i="3"/>
  <c r="O48" i="3"/>
  <c r="F73" i="3"/>
  <c r="M73" i="3" s="1"/>
  <c r="N73" i="3" s="1"/>
  <c r="L73" i="3" s="1"/>
  <c r="O73" i="3" s="1"/>
  <c r="O20" i="3"/>
  <c r="O29" i="3"/>
  <c r="O6" i="3"/>
  <c r="Q56" i="3"/>
  <c r="L56" i="3" s="1"/>
  <c r="O56" i="3" s="1"/>
  <c r="F68" i="3"/>
  <c r="F64" i="3"/>
  <c r="Q52" i="3"/>
  <c r="L52" i="3" s="1"/>
  <c r="O52" i="3" s="1"/>
  <c r="O22" i="3"/>
  <c r="O16" i="3"/>
  <c r="F82" i="3"/>
  <c r="M70" i="3"/>
  <c r="N70" i="3" s="1"/>
  <c r="L70" i="3" s="1"/>
  <c r="O70" i="3" s="1"/>
  <c r="O34" i="3"/>
  <c r="O30" i="3"/>
  <c r="O40" i="3"/>
  <c r="O9" i="3"/>
  <c r="F53" i="3"/>
  <c r="Q41" i="3"/>
  <c r="L41" i="3"/>
  <c r="O41" i="3" s="1"/>
  <c r="O49" i="3"/>
  <c r="O8" i="3"/>
  <c r="Q45" i="3"/>
  <c r="L45" i="3"/>
  <c r="O45" i="3" s="1"/>
  <c r="F57" i="3"/>
  <c r="L61" i="3"/>
  <c r="O61" i="3" s="1"/>
  <c r="Q39" i="3"/>
  <c r="F51" i="3"/>
  <c r="L39" i="3"/>
  <c r="O39" i="3" s="1"/>
  <c r="F67" i="3"/>
  <c r="Q55" i="3"/>
  <c r="L55" i="3"/>
  <c r="O55" i="3" s="1"/>
  <c r="O38" i="3"/>
  <c r="F78" i="3"/>
  <c r="M66" i="3"/>
  <c r="N66" i="3" s="1"/>
  <c r="L66" i="3" s="1"/>
  <c r="O66" i="3" s="1"/>
  <c r="L43" i="3"/>
  <c r="O43" i="3" s="1"/>
  <c r="O10" i="3"/>
  <c r="O11" i="3"/>
  <c r="O3" i="3"/>
  <c r="O17" i="3"/>
  <c r="Q62" i="3"/>
  <c r="F74" i="3"/>
  <c r="L62" i="3"/>
  <c r="O26" i="3"/>
  <c r="L47" i="3"/>
  <c r="O47" i="3" s="1"/>
  <c r="F71" i="3"/>
  <c r="Q59" i="3"/>
  <c r="L59" i="3"/>
  <c r="O59" i="3" s="1"/>
  <c r="O27" i="3"/>
  <c r="L33" i="3"/>
  <c r="O33" i="3" s="1"/>
  <c r="F72" i="3"/>
  <c r="Q60" i="3"/>
  <c r="L60" i="3" s="1"/>
  <c r="O60" i="3" s="1"/>
  <c r="O15" i="3"/>
  <c r="O7" i="3"/>
  <c r="O4" i="3"/>
  <c r="F134" i="3"/>
  <c r="O37" i="3"/>
  <c r="O25" i="3"/>
  <c r="O35" i="3"/>
  <c r="O13" i="3"/>
  <c r="O12" i="3"/>
  <c r="O32" i="3"/>
  <c r="O18" i="3"/>
  <c r="L44" i="3"/>
  <c r="O44" i="3" s="1"/>
  <c r="O36" i="3"/>
  <c r="O5" i="3"/>
  <c r="L50" i="3"/>
  <c r="O50" i="3" s="1"/>
  <c r="B17" i="1"/>
  <c r="D16" i="1"/>
  <c r="J3" i="2"/>
  <c r="K3" i="2" s="1"/>
  <c r="O3" i="2"/>
  <c r="L7" i="2"/>
  <c r="O7" i="2" s="1"/>
  <c r="O72" i="8" l="1"/>
  <c r="F85" i="5"/>
  <c r="Q73" i="5"/>
  <c r="M73" i="5"/>
  <c r="N73" i="5" s="1"/>
  <c r="R45" i="5"/>
  <c r="F77" i="5"/>
  <c r="M65" i="5"/>
  <c r="N65" i="5" s="1"/>
  <c r="Q65" i="5"/>
  <c r="R65" i="5" s="1"/>
  <c r="R40" i="5"/>
  <c r="R43" i="5"/>
  <c r="R48" i="5"/>
  <c r="F82" i="5"/>
  <c r="Q70" i="5"/>
  <c r="M70" i="5"/>
  <c r="N70" i="5" s="1"/>
  <c r="P19" i="5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F75" i="5"/>
  <c r="M63" i="5"/>
  <c r="N63" i="5" s="1"/>
  <c r="Q63" i="5"/>
  <c r="R63" i="5" s="1"/>
  <c r="R53" i="5"/>
  <c r="R58" i="5"/>
  <c r="R44" i="5"/>
  <c r="R50" i="5"/>
  <c r="R51" i="5"/>
  <c r="W65" i="8"/>
  <c r="N65" i="8"/>
  <c r="L65" i="8"/>
  <c r="S27" i="8"/>
  <c r="S41" i="8"/>
  <c r="S44" i="8"/>
  <c r="S28" i="8"/>
  <c r="S50" i="8"/>
  <c r="W71" i="8"/>
  <c r="N71" i="8"/>
  <c r="L71" i="8" s="1"/>
  <c r="O71" i="8" s="1"/>
  <c r="N68" i="8"/>
  <c r="W68" i="8"/>
  <c r="L68" i="8"/>
  <c r="O68" i="8" s="1"/>
  <c r="W74" i="8"/>
  <c r="N74" i="8"/>
  <c r="L74" i="8"/>
  <c r="O74" i="8" s="1"/>
  <c r="O31" i="8"/>
  <c r="S31" i="8" s="1"/>
  <c r="W84" i="8"/>
  <c r="N84" i="8"/>
  <c r="L84" i="8"/>
  <c r="O37" i="8"/>
  <c r="S37" i="8" s="1"/>
  <c r="O50" i="8"/>
  <c r="S33" i="8"/>
  <c r="O30" i="8"/>
  <c r="S30" i="8" s="1"/>
  <c r="W54" i="8"/>
  <c r="L54" i="8" s="1"/>
  <c r="O54" i="8" s="1"/>
  <c r="R54" i="8"/>
  <c r="F66" i="8"/>
  <c r="F86" i="8"/>
  <c r="R74" i="8"/>
  <c r="M74" i="8"/>
  <c r="F70" i="8"/>
  <c r="W58" i="8"/>
  <c r="R58" i="8"/>
  <c r="L58" i="8"/>
  <c r="O58" i="8" s="1"/>
  <c r="F67" i="8"/>
  <c r="W55" i="8"/>
  <c r="R55" i="8"/>
  <c r="L55" i="8"/>
  <c r="O55" i="8" s="1"/>
  <c r="F73" i="8"/>
  <c r="W61" i="8"/>
  <c r="R61" i="8"/>
  <c r="L61" i="8"/>
  <c r="O61" i="8" s="1"/>
  <c r="F135" i="8"/>
  <c r="F83" i="8"/>
  <c r="R71" i="8"/>
  <c r="M71" i="8"/>
  <c r="F80" i="8"/>
  <c r="M68" i="8"/>
  <c r="R68" i="8"/>
  <c r="S62" i="8"/>
  <c r="S39" i="8"/>
  <c r="S40" i="8"/>
  <c r="S72" i="8"/>
  <c r="S59" i="8"/>
  <c r="S45" i="8"/>
  <c r="M65" i="8"/>
  <c r="R65" i="8"/>
  <c r="F77" i="8"/>
  <c r="S46" i="8"/>
  <c r="W57" i="8"/>
  <c r="L57" i="8" s="1"/>
  <c r="O57" i="8" s="1"/>
  <c r="R57" i="8"/>
  <c r="F69" i="8"/>
  <c r="S49" i="8"/>
  <c r="S56" i="8"/>
  <c r="R52" i="8"/>
  <c r="F64" i="8"/>
  <c r="W52" i="8"/>
  <c r="L52" i="8"/>
  <c r="O52" i="8" s="1"/>
  <c r="L53" i="8"/>
  <c r="I4" i="8"/>
  <c r="J4" i="8" s="1"/>
  <c r="K4" i="8" s="1"/>
  <c r="X3" i="8"/>
  <c r="Y3" i="8" s="1"/>
  <c r="W51" i="8"/>
  <c r="L51" i="8" s="1"/>
  <c r="O51" i="8" s="1"/>
  <c r="R51" i="8"/>
  <c r="F63" i="8"/>
  <c r="S43" i="8"/>
  <c r="M84" i="8"/>
  <c r="F96" i="8"/>
  <c r="R84" i="8"/>
  <c r="L42" i="8"/>
  <c r="Q4" i="8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S51" i="6"/>
  <c r="F63" i="6"/>
  <c r="P51" i="6"/>
  <c r="L51" i="6"/>
  <c r="Q51" i="6" s="1"/>
  <c r="Q42" i="6"/>
  <c r="J4" i="6"/>
  <c r="K4" i="6" s="1"/>
  <c r="R3" i="7"/>
  <c r="R4" i="7" s="1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I4" i="7"/>
  <c r="J4" i="7" s="1"/>
  <c r="K4" i="7" s="1"/>
  <c r="T3" i="7"/>
  <c r="U3" i="7" s="1"/>
  <c r="O73" i="7"/>
  <c r="N73" i="7"/>
  <c r="F85" i="7"/>
  <c r="Q85" i="7" s="1"/>
  <c r="F76" i="7"/>
  <c r="Q76" i="7" s="1"/>
  <c r="O64" i="7"/>
  <c r="N64" i="7"/>
  <c r="F110" i="7"/>
  <c r="Q110" i="7" s="1"/>
  <c r="N98" i="7"/>
  <c r="O98" i="7"/>
  <c r="F66" i="7"/>
  <c r="Q66" i="7" s="1"/>
  <c r="O54" i="7"/>
  <c r="S54" i="7"/>
  <c r="L54" i="7" s="1"/>
  <c r="F134" i="7"/>
  <c r="O84" i="7"/>
  <c r="N84" i="7"/>
  <c r="F96" i="7"/>
  <c r="Q96" i="7" s="1"/>
  <c r="S56" i="7"/>
  <c r="O56" i="7"/>
  <c r="F68" i="7"/>
  <c r="Q68" i="7" s="1"/>
  <c r="L56" i="7"/>
  <c r="F65" i="7"/>
  <c r="Q65" i="7" s="1"/>
  <c r="O53" i="7"/>
  <c r="S53" i="7"/>
  <c r="L53" i="7"/>
  <c r="S58" i="7"/>
  <c r="O58" i="7"/>
  <c r="F70" i="7"/>
  <c r="Q70" i="7" s="1"/>
  <c r="O51" i="7"/>
  <c r="S51" i="7"/>
  <c r="F63" i="7"/>
  <c r="L51" i="7"/>
  <c r="S59" i="7"/>
  <c r="O59" i="7"/>
  <c r="F71" i="7"/>
  <c r="Q71" i="7" s="1"/>
  <c r="L59" i="7"/>
  <c r="N69" i="7"/>
  <c r="F81" i="7"/>
  <c r="Q81" i="7" s="1"/>
  <c r="O69" i="7"/>
  <c r="F91" i="7"/>
  <c r="Q91" i="7" s="1"/>
  <c r="O79" i="7"/>
  <c r="N79" i="7"/>
  <c r="R4" i="6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I5" i="6"/>
  <c r="J5" i="6" s="1"/>
  <c r="K5" i="6" s="1"/>
  <c r="T4" i="6"/>
  <c r="S61" i="6"/>
  <c r="P61" i="6"/>
  <c r="F73" i="6"/>
  <c r="L73" i="6" s="1"/>
  <c r="L61" i="6"/>
  <c r="Q61" i="6" s="1"/>
  <c r="F66" i="6"/>
  <c r="L66" i="6" s="1"/>
  <c r="S54" i="6"/>
  <c r="L54" i="6" s="1"/>
  <c r="P54" i="6"/>
  <c r="F81" i="6"/>
  <c r="L81" i="6" s="1"/>
  <c r="P69" i="6"/>
  <c r="P77" i="6"/>
  <c r="F89" i="6"/>
  <c r="L89" i="6" s="1"/>
  <c r="P88" i="6"/>
  <c r="F100" i="6"/>
  <c r="L100" i="6" s="1"/>
  <c r="S59" i="6"/>
  <c r="P59" i="6"/>
  <c r="F71" i="6"/>
  <c r="L71" i="6" s="1"/>
  <c r="L59" i="6"/>
  <c r="Q59" i="6" s="1"/>
  <c r="S62" i="6"/>
  <c r="F74" i="6"/>
  <c r="L74" i="6" s="1"/>
  <c r="P62" i="6"/>
  <c r="L62" i="6"/>
  <c r="U3" i="6"/>
  <c r="P96" i="6"/>
  <c r="Q96" i="6"/>
  <c r="F108" i="6"/>
  <c r="L108" i="6" s="1"/>
  <c r="F68" i="6"/>
  <c r="L68" i="6" s="1"/>
  <c r="P56" i="6"/>
  <c r="S56" i="6"/>
  <c r="L56" i="6"/>
  <c r="Q56" i="6" s="1"/>
  <c r="P58" i="6"/>
  <c r="S58" i="6"/>
  <c r="L58" i="6" s="1"/>
  <c r="Q58" i="6" s="1"/>
  <c r="F70" i="6"/>
  <c r="L70" i="6" s="1"/>
  <c r="Q84" i="6"/>
  <c r="F91" i="6"/>
  <c r="L91" i="6" s="1"/>
  <c r="P79" i="6"/>
  <c r="Q60" i="5"/>
  <c r="Q57" i="5"/>
  <c r="Q62" i="5"/>
  <c r="R62" i="5" s="1"/>
  <c r="Q54" i="5"/>
  <c r="R54" i="5" s="1"/>
  <c r="Q52" i="5"/>
  <c r="Q59" i="5"/>
  <c r="R59" i="5" s="1"/>
  <c r="Q55" i="5"/>
  <c r="R57" i="4"/>
  <c r="F69" i="4"/>
  <c r="F81" i="4" s="1"/>
  <c r="F93" i="4" s="1"/>
  <c r="F105" i="4" s="1"/>
  <c r="O57" i="4"/>
  <c r="L57" i="4"/>
  <c r="O55" i="4"/>
  <c r="R55" i="4"/>
  <c r="F67" i="4"/>
  <c r="F79" i="4" s="1"/>
  <c r="F91" i="4" s="1"/>
  <c r="L55" i="4"/>
  <c r="I4" i="4"/>
  <c r="J4" i="4" s="1"/>
  <c r="K4" i="4" s="1"/>
  <c r="O52" i="4"/>
  <c r="R52" i="4"/>
  <c r="L52" i="4" s="1"/>
  <c r="F64" i="4"/>
  <c r="F76" i="4" s="1"/>
  <c r="F88" i="4" s="1"/>
  <c r="Q56" i="5"/>
  <c r="F68" i="5"/>
  <c r="V56" i="5"/>
  <c r="L56" i="5" s="1"/>
  <c r="N56" i="5" s="1"/>
  <c r="F64" i="5"/>
  <c r="V52" i="5"/>
  <c r="F72" i="5"/>
  <c r="V60" i="5"/>
  <c r="L60" i="5" s="1"/>
  <c r="N60" i="5" s="1"/>
  <c r="F69" i="5"/>
  <c r="V57" i="5"/>
  <c r="L57" i="5" s="1"/>
  <c r="N57" i="5" s="1"/>
  <c r="F67" i="5"/>
  <c r="V55" i="5"/>
  <c r="L55" i="5" s="1"/>
  <c r="N55" i="5" s="1"/>
  <c r="L50" i="5"/>
  <c r="N50" i="5" s="1"/>
  <c r="V54" i="5"/>
  <c r="L54" i="5" s="1"/>
  <c r="N54" i="5" s="1"/>
  <c r="F66" i="5"/>
  <c r="F74" i="5"/>
  <c r="V62" i="5"/>
  <c r="L62" i="5" s="1"/>
  <c r="N62" i="5" s="1"/>
  <c r="V59" i="5"/>
  <c r="L59" i="5" s="1"/>
  <c r="N59" i="5" s="1"/>
  <c r="F71" i="5"/>
  <c r="F135" i="5"/>
  <c r="U3" i="5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W3" i="5"/>
  <c r="I4" i="5"/>
  <c r="J4" i="5" s="1"/>
  <c r="K4" i="5" s="1"/>
  <c r="I5" i="4"/>
  <c r="J5" i="4" s="1"/>
  <c r="K5" i="4" s="1"/>
  <c r="S4" i="4"/>
  <c r="F78" i="4"/>
  <c r="F94" i="4"/>
  <c r="F87" i="4"/>
  <c r="F85" i="4"/>
  <c r="F83" i="4"/>
  <c r="F135" i="4"/>
  <c r="F117" i="4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F96" i="4"/>
  <c r="R53" i="4"/>
  <c r="F65" i="4"/>
  <c r="L53" i="4"/>
  <c r="L61" i="4"/>
  <c r="F98" i="4"/>
  <c r="J4" i="2"/>
  <c r="K4" i="2" s="1"/>
  <c r="I5" i="2" s="1"/>
  <c r="P3" i="2"/>
  <c r="P4" i="2" s="1"/>
  <c r="P5" i="2" s="1"/>
  <c r="P6" i="2" s="1"/>
  <c r="P7" i="2" s="1"/>
  <c r="I67" i="3"/>
  <c r="J67" i="3" s="1"/>
  <c r="K67" i="3" s="1"/>
  <c r="F85" i="3"/>
  <c r="F97" i="3" s="1"/>
  <c r="I4" i="3"/>
  <c r="J4" i="3" s="1"/>
  <c r="K4" i="3" s="1"/>
  <c r="Q57" i="3"/>
  <c r="F69" i="3"/>
  <c r="L57" i="3"/>
  <c r="O57" i="3" s="1"/>
  <c r="I5" i="3"/>
  <c r="J5" i="3" s="1"/>
  <c r="K5" i="3"/>
  <c r="R4" i="3"/>
  <c r="F94" i="3"/>
  <c r="M82" i="3"/>
  <c r="N82" i="3" s="1"/>
  <c r="L82" i="3" s="1"/>
  <c r="O82" i="3" s="1"/>
  <c r="M78" i="3"/>
  <c r="N78" i="3" s="1"/>
  <c r="L78" i="3" s="1"/>
  <c r="O78" i="3" s="1"/>
  <c r="F90" i="3"/>
  <c r="M72" i="3"/>
  <c r="N72" i="3" s="1"/>
  <c r="L72" i="3" s="1"/>
  <c r="O72" i="3" s="1"/>
  <c r="F84" i="3"/>
  <c r="M67" i="3"/>
  <c r="N67" i="3" s="1"/>
  <c r="L67" i="3" s="1"/>
  <c r="O67" i="3" s="1"/>
  <c r="F79" i="3"/>
  <c r="F65" i="3"/>
  <c r="Q53" i="3"/>
  <c r="L53" i="3"/>
  <c r="O53" i="3" s="1"/>
  <c r="F76" i="3"/>
  <c r="M64" i="3"/>
  <c r="N64" i="3" s="1"/>
  <c r="L64" i="3" s="1"/>
  <c r="O64" i="3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F135" i="3"/>
  <c r="F86" i="3"/>
  <c r="M74" i="3"/>
  <c r="N74" i="3" s="1"/>
  <c r="L74" i="3" s="1"/>
  <c r="O74" i="3" s="1"/>
  <c r="M68" i="3"/>
  <c r="N68" i="3" s="1"/>
  <c r="L68" i="3" s="1"/>
  <c r="O68" i="3" s="1"/>
  <c r="F80" i="3"/>
  <c r="F63" i="3"/>
  <c r="Q51" i="3"/>
  <c r="L51" i="3" s="1"/>
  <c r="O51" i="3" s="1"/>
  <c r="F83" i="3"/>
  <c r="M71" i="3"/>
  <c r="N71" i="3" s="1"/>
  <c r="L71" i="3" s="1"/>
  <c r="O71" i="3" s="1"/>
  <c r="B18" i="1"/>
  <c r="D17" i="1"/>
  <c r="E16" i="1"/>
  <c r="E17" i="1" s="1"/>
  <c r="R3" i="2"/>
  <c r="L8" i="2"/>
  <c r="O8" i="2" s="1"/>
  <c r="F81" i="5" l="1"/>
  <c r="Q69" i="5"/>
  <c r="M69" i="5"/>
  <c r="N69" i="5" s="1"/>
  <c r="R55" i="5"/>
  <c r="P44" i="5"/>
  <c r="P45" i="5" s="1"/>
  <c r="P46" i="5" s="1"/>
  <c r="P47" i="5" s="1"/>
  <c r="P48" i="5" s="1"/>
  <c r="P49" i="5" s="1"/>
  <c r="P50" i="5" s="1"/>
  <c r="P51" i="5" s="1"/>
  <c r="F80" i="5"/>
  <c r="M68" i="5"/>
  <c r="N68" i="5" s="1"/>
  <c r="Q68" i="5"/>
  <c r="R68" i="5" s="1"/>
  <c r="R70" i="5"/>
  <c r="F83" i="5"/>
  <c r="Q71" i="5"/>
  <c r="M71" i="5"/>
  <c r="N71" i="5" s="1"/>
  <c r="F84" i="5"/>
  <c r="Q72" i="5"/>
  <c r="M72" i="5"/>
  <c r="N72" i="5" s="1"/>
  <c r="R57" i="5"/>
  <c r="R56" i="5"/>
  <c r="M64" i="5"/>
  <c r="N64" i="5" s="1"/>
  <c r="Q64" i="5"/>
  <c r="R64" i="5" s="1"/>
  <c r="R60" i="5"/>
  <c r="R73" i="5"/>
  <c r="F79" i="5"/>
  <c r="M67" i="5"/>
  <c r="N67" i="5" s="1"/>
  <c r="Q67" i="5"/>
  <c r="F87" i="5"/>
  <c r="M75" i="5"/>
  <c r="N75" i="5" s="1"/>
  <c r="Q75" i="5"/>
  <c r="R75" i="5" s="1"/>
  <c r="F94" i="5"/>
  <c r="M82" i="5"/>
  <c r="N82" i="5" s="1"/>
  <c r="Q82" i="5"/>
  <c r="R82" i="5" s="1"/>
  <c r="F89" i="5"/>
  <c r="M77" i="5"/>
  <c r="N77" i="5" s="1"/>
  <c r="Q77" i="5"/>
  <c r="R77" i="5" s="1"/>
  <c r="F86" i="5"/>
  <c r="Q74" i="5"/>
  <c r="M74" i="5"/>
  <c r="N74" i="5" s="1"/>
  <c r="F78" i="5"/>
  <c r="M66" i="5"/>
  <c r="N66" i="5" s="1"/>
  <c r="Q66" i="5"/>
  <c r="R66" i="5" s="1"/>
  <c r="F97" i="5"/>
  <c r="M85" i="5"/>
  <c r="N85" i="5" s="1"/>
  <c r="Q85" i="5"/>
  <c r="R85" i="5" s="1"/>
  <c r="N66" i="8"/>
  <c r="W66" i="8"/>
  <c r="L66" i="8" s="1"/>
  <c r="W73" i="8"/>
  <c r="L73" i="8" s="1"/>
  <c r="N73" i="8"/>
  <c r="N67" i="8"/>
  <c r="W67" i="8"/>
  <c r="L67" i="8"/>
  <c r="N96" i="8"/>
  <c r="W96" i="8"/>
  <c r="L96" i="8"/>
  <c r="N70" i="8"/>
  <c r="W70" i="8"/>
  <c r="L70" i="8"/>
  <c r="O70" i="8" s="1"/>
  <c r="O65" i="8"/>
  <c r="S65" i="8" s="1"/>
  <c r="Q30" i="8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W77" i="8"/>
  <c r="N77" i="8"/>
  <c r="L77" i="8"/>
  <c r="S84" i="8"/>
  <c r="W80" i="8"/>
  <c r="L80" i="8" s="1"/>
  <c r="O80" i="8" s="1"/>
  <c r="N80" i="8"/>
  <c r="N64" i="8"/>
  <c r="L64" i="8" s="1"/>
  <c r="W64" i="8"/>
  <c r="W83" i="8"/>
  <c r="N83" i="8"/>
  <c r="L83" i="8"/>
  <c r="O84" i="8"/>
  <c r="O42" i="8"/>
  <c r="S42" i="8" s="1"/>
  <c r="N63" i="8"/>
  <c r="W63" i="8"/>
  <c r="L63" i="8"/>
  <c r="N86" i="8"/>
  <c r="W86" i="8"/>
  <c r="L86" i="8"/>
  <c r="O86" i="8" s="1"/>
  <c r="O53" i="8"/>
  <c r="S53" i="8" s="1"/>
  <c r="W69" i="8"/>
  <c r="N69" i="8"/>
  <c r="S68" i="8"/>
  <c r="I5" i="8"/>
  <c r="J5" i="8" s="1"/>
  <c r="K5" i="8" s="1"/>
  <c r="X4" i="8"/>
  <c r="Y4" i="8" s="1"/>
  <c r="F76" i="8"/>
  <c r="R64" i="8"/>
  <c r="M64" i="8"/>
  <c r="S52" i="8"/>
  <c r="R70" i="8"/>
  <c r="M70" i="8"/>
  <c r="F82" i="8"/>
  <c r="S71" i="8"/>
  <c r="F95" i="8"/>
  <c r="R83" i="8"/>
  <c r="M83" i="8"/>
  <c r="F136" i="8"/>
  <c r="F92" i="8"/>
  <c r="R80" i="8"/>
  <c r="M80" i="8"/>
  <c r="F81" i="8"/>
  <c r="R69" i="8"/>
  <c r="M69" i="8"/>
  <c r="S57" i="8"/>
  <c r="F78" i="8"/>
  <c r="R66" i="8"/>
  <c r="M66" i="8"/>
  <c r="M73" i="8"/>
  <c r="F85" i="8"/>
  <c r="R73" i="8"/>
  <c r="S55" i="8"/>
  <c r="F79" i="8"/>
  <c r="R67" i="8"/>
  <c r="M67" i="8"/>
  <c r="S58" i="8"/>
  <c r="F108" i="8"/>
  <c r="R96" i="8"/>
  <c r="M96" i="8"/>
  <c r="S74" i="8"/>
  <c r="F98" i="8"/>
  <c r="R86" i="8"/>
  <c r="M86" i="8"/>
  <c r="F75" i="8"/>
  <c r="R63" i="8"/>
  <c r="M63" i="8"/>
  <c r="S51" i="8"/>
  <c r="S54" i="8"/>
  <c r="F89" i="8"/>
  <c r="R77" i="8"/>
  <c r="M77" i="8"/>
  <c r="S61" i="8"/>
  <c r="F75" i="6"/>
  <c r="P63" i="6"/>
  <c r="L63" i="6"/>
  <c r="Q63" i="6" s="1"/>
  <c r="Q54" i="6"/>
  <c r="I5" i="7"/>
  <c r="J5" i="7" s="1"/>
  <c r="K5" i="7" s="1"/>
  <c r="T4" i="7"/>
  <c r="U4" i="7" s="1"/>
  <c r="O96" i="7"/>
  <c r="N96" i="7"/>
  <c r="F108" i="7"/>
  <c r="Q108" i="7" s="1"/>
  <c r="F75" i="7"/>
  <c r="Q75" i="7" s="1"/>
  <c r="N63" i="7"/>
  <c r="O63" i="7"/>
  <c r="R51" i="7"/>
  <c r="R52" i="7" s="1"/>
  <c r="R53" i="7" s="1"/>
  <c r="R54" i="7" s="1"/>
  <c r="R55" i="7" s="1"/>
  <c r="R56" i="7" s="1"/>
  <c r="R57" i="7" s="1"/>
  <c r="F88" i="7"/>
  <c r="Q88" i="7" s="1"/>
  <c r="N76" i="7"/>
  <c r="O76" i="7"/>
  <c r="F135" i="7"/>
  <c r="F78" i="7"/>
  <c r="Q78" i="7" s="1"/>
  <c r="O66" i="7"/>
  <c r="N66" i="7"/>
  <c r="F122" i="7"/>
  <c r="O110" i="7"/>
  <c r="N110" i="7"/>
  <c r="O65" i="7"/>
  <c r="N65" i="7"/>
  <c r="F77" i="7"/>
  <c r="Q77" i="7" s="1"/>
  <c r="F97" i="7"/>
  <c r="Q97" i="7" s="1"/>
  <c r="N85" i="7"/>
  <c r="O85" i="7"/>
  <c r="N71" i="7"/>
  <c r="O71" i="7"/>
  <c r="F83" i="7"/>
  <c r="Q83" i="7" s="1"/>
  <c r="L58" i="7"/>
  <c r="F82" i="7"/>
  <c r="Q82" i="7" s="1"/>
  <c r="N70" i="7"/>
  <c r="O70" i="7"/>
  <c r="N91" i="7"/>
  <c r="O91" i="7"/>
  <c r="F103" i="7"/>
  <c r="Q103" i="7" s="1"/>
  <c r="O81" i="7"/>
  <c r="N81" i="7"/>
  <c r="F93" i="7"/>
  <c r="Q93" i="7" s="1"/>
  <c r="O68" i="7"/>
  <c r="F80" i="7"/>
  <c r="Q80" i="7" s="1"/>
  <c r="N68" i="7"/>
  <c r="Q62" i="6"/>
  <c r="U4" i="6"/>
  <c r="Q69" i="6"/>
  <c r="Q79" i="6"/>
  <c r="R54" i="6"/>
  <c r="R55" i="6" s="1"/>
  <c r="R56" i="6" s="1"/>
  <c r="R57" i="6" s="1"/>
  <c r="R58" i="6" s="1"/>
  <c r="R59" i="6" s="1"/>
  <c r="R60" i="6" s="1"/>
  <c r="R61" i="6" s="1"/>
  <c r="F120" i="6"/>
  <c r="P108" i="6"/>
  <c r="Q108" i="6"/>
  <c r="F103" i="6"/>
  <c r="L103" i="6" s="1"/>
  <c r="P91" i="6"/>
  <c r="P100" i="6"/>
  <c r="Q100" i="6"/>
  <c r="F112" i="6"/>
  <c r="Q88" i="6"/>
  <c r="P74" i="6"/>
  <c r="Q74" i="6"/>
  <c r="F86" i="6"/>
  <c r="L86" i="6" s="1"/>
  <c r="P66" i="6"/>
  <c r="F78" i="6"/>
  <c r="L78" i="6" s="1"/>
  <c r="F101" i="6"/>
  <c r="L101" i="6" s="1"/>
  <c r="P89" i="6"/>
  <c r="F80" i="6"/>
  <c r="L80" i="6" s="1"/>
  <c r="P68" i="6"/>
  <c r="Q77" i="6"/>
  <c r="F85" i="6"/>
  <c r="L85" i="6" s="1"/>
  <c r="P73" i="6"/>
  <c r="Q73" i="6"/>
  <c r="I6" i="6"/>
  <c r="J6" i="6" s="1"/>
  <c r="K6" i="6" s="1"/>
  <c r="T5" i="6"/>
  <c r="U5" i="6" s="1"/>
  <c r="P81" i="6"/>
  <c r="Q81" i="6"/>
  <c r="F93" i="6"/>
  <c r="L93" i="6" s="1"/>
  <c r="P71" i="6"/>
  <c r="F83" i="6"/>
  <c r="L83" i="6" s="1"/>
  <c r="F82" i="6"/>
  <c r="L82" i="6" s="1"/>
  <c r="P70" i="6"/>
  <c r="Q70" i="6" s="1"/>
  <c r="T3" i="4"/>
  <c r="Q52" i="4"/>
  <c r="U50" i="5"/>
  <c r="U51" i="5" s="1"/>
  <c r="I5" i="5"/>
  <c r="J5" i="5" s="1"/>
  <c r="K5" i="5" s="1"/>
  <c r="W4" i="5"/>
  <c r="X4" i="5" s="1"/>
  <c r="F136" i="5"/>
  <c r="L52" i="5"/>
  <c r="N52" i="5" s="1"/>
  <c r="R52" i="5" s="1"/>
  <c r="X3" i="5"/>
  <c r="F76" i="5"/>
  <c r="T4" i="4"/>
  <c r="I6" i="4"/>
  <c r="J6" i="4" s="1"/>
  <c r="S5" i="4"/>
  <c r="T5" i="4" s="1"/>
  <c r="K6" i="4"/>
  <c r="F77" i="4"/>
  <c r="F136" i="4"/>
  <c r="F95" i="4"/>
  <c r="F110" i="4"/>
  <c r="F103" i="4"/>
  <c r="F97" i="4"/>
  <c r="F99" i="4"/>
  <c r="F100" i="4"/>
  <c r="F106" i="4"/>
  <c r="F108" i="4"/>
  <c r="F90" i="4"/>
  <c r="Q53" i="4"/>
  <c r="Q54" i="4" s="1"/>
  <c r="Q55" i="4" s="1"/>
  <c r="Q56" i="4" s="1"/>
  <c r="Q57" i="4" s="1"/>
  <c r="Q58" i="4" s="1"/>
  <c r="Q59" i="4" s="1"/>
  <c r="Q60" i="4" s="1"/>
  <c r="Q61" i="4" s="1"/>
  <c r="Q62" i="4" s="1"/>
  <c r="R4" i="2"/>
  <c r="S3" i="2"/>
  <c r="I68" i="3"/>
  <c r="J68" i="3" s="1"/>
  <c r="K68" i="3" s="1"/>
  <c r="M85" i="3"/>
  <c r="N85" i="3" s="1"/>
  <c r="L85" i="3" s="1"/>
  <c r="O85" i="3" s="1"/>
  <c r="F75" i="3"/>
  <c r="M63" i="3"/>
  <c r="N63" i="3" s="1"/>
  <c r="L63" i="3" s="1"/>
  <c r="O63" i="3" s="1"/>
  <c r="M84" i="3"/>
  <c r="N84" i="3" s="1"/>
  <c r="L84" i="3" s="1"/>
  <c r="O84" i="3" s="1"/>
  <c r="F96" i="3"/>
  <c r="M80" i="3"/>
  <c r="N80" i="3" s="1"/>
  <c r="L80" i="3" s="1"/>
  <c r="O80" i="3" s="1"/>
  <c r="F92" i="3"/>
  <c r="F98" i="3"/>
  <c r="M86" i="3"/>
  <c r="N86" i="3" s="1"/>
  <c r="L86" i="3" s="1"/>
  <c r="O86" i="3" s="1"/>
  <c r="F109" i="3"/>
  <c r="M97" i="3"/>
  <c r="N97" i="3" s="1"/>
  <c r="L97" i="3" s="1"/>
  <c r="O97" i="3" s="1"/>
  <c r="F136" i="3"/>
  <c r="F102" i="3"/>
  <c r="M90" i="3"/>
  <c r="N90" i="3" s="1"/>
  <c r="L90" i="3" s="1"/>
  <c r="O90" i="3" s="1"/>
  <c r="P51" i="3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S3" i="3"/>
  <c r="F88" i="3"/>
  <c r="M76" i="3"/>
  <c r="N76" i="3" s="1"/>
  <c r="L76" i="3" s="1"/>
  <c r="O76" i="3" s="1"/>
  <c r="F106" i="3"/>
  <c r="M94" i="3"/>
  <c r="N94" i="3" s="1"/>
  <c r="L94" i="3" s="1"/>
  <c r="O94" i="3" s="1"/>
  <c r="S4" i="3"/>
  <c r="M65" i="3"/>
  <c r="N65" i="3" s="1"/>
  <c r="L65" i="3" s="1"/>
  <c r="O65" i="3" s="1"/>
  <c r="F77" i="3"/>
  <c r="I6" i="3"/>
  <c r="J6" i="3" s="1"/>
  <c r="K6" i="3" s="1"/>
  <c r="R5" i="3"/>
  <c r="S5" i="3" s="1"/>
  <c r="M69" i="3"/>
  <c r="N69" i="3" s="1"/>
  <c r="L69" i="3" s="1"/>
  <c r="O69" i="3" s="1"/>
  <c r="F81" i="3"/>
  <c r="M83" i="3"/>
  <c r="N83" i="3" s="1"/>
  <c r="L83" i="3" s="1"/>
  <c r="O83" i="3" s="1"/>
  <c r="F95" i="3"/>
  <c r="M79" i="3"/>
  <c r="N79" i="3" s="1"/>
  <c r="L79" i="3" s="1"/>
  <c r="O79" i="3" s="1"/>
  <c r="F91" i="3"/>
  <c r="B19" i="1"/>
  <c r="D18" i="1"/>
  <c r="E18" i="1" s="1"/>
  <c r="E19" i="1" s="1"/>
  <c r="S4" i="2"/>
  <c r="J5" i="2"/>
  <c r="K5" i="2" s="1"/>
  <c r="I6" i="2" s="1"/>
  <c r="L9" i="2"/>
  <c r="O9" i="2" s="1"/>
  <c r="P8" i="2"/>
  <c r="O77" i="8" l="1"/>
  <c r="S63" i="8"/>
  <c r="O63" i="8"/>
  <c r="F90" i="5"/>
  <c r="M78" i="5"/>
  <c r="N78" i="5" s="1"/>
  <c r="Q78" i="5"/>
  <c r="R78" i="5" s="1"/>
  <c r="F106" i="5"/>
  <c r="Q94" i="5"/>
  <c r="M94" i="5"/>
  <c r="N94" i="5" s="1"/>
  <c r="F92" i="5"/>
  <c r="M80" i="5"/>
  <c r="N80" i="5" s="1"/>
  <c r="Q80" i="5"/>
  <c r="R80" i="5" s="1"/>
  <c r="P52" i="5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F99" i="5"/>
  <c r="M87" i="5"/>
  <c r="N87" i="5" s="1"/>
  <c r="Q87" i="5"/>
  <c r="F109" i="5"/>
  <c r="Q97" i="5"/>
  <c r="M97" i="5"/>
  <c r="N97" i="5" s="1"/>
  <c r="R72" i="5"/>
  <c r="R74" i="5"/>
  <c r="F96" i="5"/>
  <c r="M84" i="5"/>
  <c r="N84" i="5" s="1"/>
  <c r="Q84" i="5"/>
  <c r="R84" i="5" s="1"/>
  <c r="F98" i="5"/>
  <c r="M86" i="5"/>
  <c r="N86" i="5" s="1"/>
  <c r="Q86" i="5"/>
  <c r="R86" i="5" s="1"/>
  <c r="R71" i="5"/>
  <c r="F95" i="5"/>
  <c r="M83" i="5"/>
  <c r="N83" i="5" s="1"/>
  <c r="Q83" i="5"/>
  <c r="R83" i="5" s="1"/>
  <c r="F101" i="5"/>
  <c r="M89" i="5"/>
  <c r="N89" i="5" s="1"/>
  <c r="Q89" i="5"/>
  <c r="R89" i="5" s="1"/>
  <c r="R67" i="5"/>
  <c r="F88" i="5"/>
  <c r="M76" i="5"/>
  <c r="N76" i="5" s="1"/>
  <c r="Q76" i="5"/>
  <c r="R76" i="5" s="1"/>
  <c r="R69" i="5"/>
  <c r="F91" i="5"/>
  <c r="M79" i="5"/>
  <c r="N79" i="5" s="1"/>
  <c r="Q79" i="5"/>
  <c r="R79" i="5" s="1"/>
  <c r="F93" i="5"/>
  <c r="M81" i="5"/>
  <c r="N81" i="5" s="1"/>
  <c r="Q81" i="5"/>
  <c r="R81" i="5" s="1"/>
  <c r="L69" i="8"/>
  <c r="O69" i="8" s="1"/>
  <c r="Q51" i="8"/>
  <c r="Q52" i="8" s="1"/>
  <c r="Q53" i="8" s="1"/>
  <c r="Q54" i="8" s="1"/>
  <c r="Q55" i="8" s="1"/>
  <c r="Q56" i="8" s="1"/>
  <c r="Q57" i="8" s="1"/>
  <c r="N95" i="8"/>
  <c r="W95" i="8"/>
  <c r="L95" i="8"/>
  <c r="O66" i="8"/>
  <c r="S66" i="8" s="1"/>
  <c r="W92" i="8"/>
  <c r="N92" i="8"/>
  <c r="N108" i="8"/>
  <c r="W108" i="8"/>
  <c r="L108" i="8"/>
  <c r="W82" i="8"/>
  <c r="N82" i="8"/>
  <c r="L82" i="8"/>
  <c r="O67" i="8"/>
  <c r="S67" i="8" s="1"/>
  <c r="W89" i="8"/>
  <c r="N89" i="8"/>
  <c r="L89" i="8"/>
  <c r="O89" i="8" s="1"/>
  <c r="O73" i="8"/>
  <c r="S73" i="8" s="1"/>
  <c r="W78" i="8"/>
  <c r="L78" i="8" s="1"/>
  <c r="O78" i="8" s="1"/>
  <c r="N78" i="8"/>
  <c r="O64" i="8"/>
  <c r="N75" i="8"/>
  <c r="W75" i="8"/>
  <c r="W81" i="8"/>
  <c r="N81" i="8"/>
  <c r="L81" i="8"/>
  <c r="W98" i="8"/>
  <c r="N98" i="8"/>
  <c r="L98" i="8"/>
  <c r="O98" i="8" s="1"/>
  <c r="N79" i="8"/>
  <c r="W79" i="8"/>
  <c r="L79" i="8"/>
  <c r="O96" i="8"/>
  <c r="S96" i="8" s="1"/>
  <c r="N85" i="8"/>
  <c r="W85" i="8"/>
  <c r="O83" i="8"/>
  <c r="S83" i="8" s="1"/>
  <c r="N76" i="8"/>
  <c r="W76" i="8"/>
  <c r="L76" i="8" s="1"/>
  <c r="O76" i="8" s="1"/>
  <c r="I6" i="8"/>
  <c r="J6" i="8" s="1"/>
  <c r="K6" i="8" s="1"/>
  <c r="X5" i="8"/>
  <c r="Y5" i="8" s="1"/>
  <c r="F137" i="8"/>
  <c r="M98" i="8"/>
  <c r="R98" i="8"/>
  <c r="F110" i="8"/>
  <c r="M95" i="8"/>
  <c r="F107" i="8"/>
  <c r="R95" i="8"/>
  <c r="Q58" i="8"/>
  <c r="Q59" i="8" s="1"/>
  <c r="Q60" i="8" s="1"/>
  <c r="Q61" i="8" s="1"/>
  <c r="Q62" i="8" s="1"/>
  <c r="F97" i="8"/>
  <c r="R85" i="8"/>
  <c r="M85" i="8"/>
  <c r="R92" i="8"/>
  <c r="M92" i="8"/>
  <c r="F104" i="8"/>
  <c r="F120" i="8"/>
  <c r="R108" i="8"/>
  <c r="M108" i="8"/>
  <c r="F91" i="8"/>
  <c r="M79" i="8"/>
  <c r="R79" i="8"/>
  <c r="S77" i="8"/>
  <c r="F101" i="8"/>
  <c r="R89" i="8"/>
  <c r="M89" i="8"/>
  <c r="F94" i="8"/>
  <c r="R82" i="8"/>
  <c r="M82" i="8"/>
  <c r="S70" i="8"/>
  <c r="F90" i="8"/>
  <c r="R78" i="8"/>
  <c r="M78" i="8"/>
  <c r="F87" i="8"/>
  <c r="R75" i="8"/>
  <c r="M75" i="8"/>
  <c r="S64" i="8"/>
  <c r="S69" i="8"/>
  <c r="M76" i="8"/>
  <c r="R76" i="8"/>
  <c r="F88" i="8"/>
  <c r="R81" i="8"/>
  <c r="M81" i="8"/>
  <c r="F93" i="8"/>
  <c r="S86" i="8"/>
  <c r="S80" i="8"/>
  <c r="L75" i="6"/>
  <c r="F87" i="6"/>
  <c r="P75" i="6"/>
  <c r="F124" i="6"/>
  <c r="L112" i="6"/>
  <c r="F132" i="6"/>
  <c r="L120" i="6"/>
  <c r="R62" i="6"/>
  <c r="R63" i="6" s="1"/>
  <c r="R64" i="6" s="1"/>
  <c r="R65" i="6" s="1"/>
  <c r="F100" i="7"/>
  <c r="Q100" i="7" s="1"/>
  <c r="O88" i="7"/>
  <c r="N88" i="7"/>
  <c r="R58" i="7"/>
  <c r="R59" i="7" s="1"/>
  <c r="R60" i="7" s="1"/>
  <c r="R61" i="7" s="1"/>
  <c r="R62" i="7" s="1"/>
  <c r="N80" i="7"/>
  <c r="O80" i="7"/>
  <c r="F92" i="7"/>
  <c r="Q92" i="7" s="1"/>
  <c r="N97" i="7"/>
  <c r="F109" i="7"/>
  <c r="Q109" i="7" s="1"/>
  <c r="O97" i="7"/>
  <c r="O77" i="7"/>
  <c r="F89" i="7"/>
  <c r="Q89" i="7" s="1"/>
  <c r="N77" i="7"/>
  <c r="F120" i="7"/>
  <c r="Q120" i="7" s="1"/>
  <c r="O108" i="7"/>
  <c r="N108" i="7"/>
  <c r="N93" i="7"/>
  <c r="F105" i="7"/>
  <c r="Q105" i="7" s="1"/>
  <c r="O93" i="7"/>
  <c r="O103" i="7"/>
  <c r="N103" i="7"/>
  <c r="F115" i="7"/>
  <c r="Q115" i="7" s="1"/>
  <c r="O78" i="7"/>
  <c r="N78" i="7"/>
  <c r="F90" i="7"/>
  <c r="Q90" i="7" s="1"/>
  <c r="F136" i="7"/>
  <c r="O83" i="7"/>
  <c r="F95" i="7"/>
  <c r="Q95" i="7" s="1"/>
  <c r="N83" i="7"/>
  <c r="O122" i="7"/>
  <c r="N122" i="7"/>
  <c r="N75" i="7"/>
  <c r="F87" i="7"/>
  <c r="Q87" i="7" s="1"/>
  <c r="O75" i="7"/>
  <c r="F94" i="7"/>
  <c r="Q94" i="7" s="1"/>
  <c r="O82" i="7"/>
  <c r="N82" i="7"/>
  <c r="T5" i="7"/>
  <c r="U5" i="7" s="1"/>
  <c r="I6" i="7"/>
  <c r="J6" i="7" s="1"/>
  <c r="K6" i="7" s="1"/>
  <c r="I7" i="6"/>
  <c r="J7" i="6" s="1"/>
  <c r="K7" i="6" s="1"/>
  <c r="T6" i="6"/>
  <c r="U6" i="6" s="1"/>
  <c r="Q91" i="6"/>
  <c r="Q68" i="6"/>
  <c r="P112" i="6"/>
  <c r="Q112" i="6" s="1"/>
  <c r="P80" i="6"/>
  <c r="F92" i="6"/>
  <c r="L92" i="6" s="1"/>
  <c r="Q80" i="6"/>
  <c r="Q89" i="6"/>
  <c r="P103" i="6"/>
  <c r="Q103" i="6"/>
  <c r="F115" i="6"/>
  <c r="P120" i="6"/>
  <c r="F98" i="6"/>
  <c r="L98" i="6" s="1"/>
  <c r="P86" i="6"/>
  <c r="Q86" i="6"/>
  <c r="F94" i="6"/>
  <c r="L94" i="6" s="1"/>
  <c r="P82" i="6"/>
  <c r="Q82" i="6"/>
  <c r="F113" i="6"/>
  <c r="P101" i="6"/>
  <c r="Q101" i="6"/>
  <c r="P78" i="6"/>
  <c r="Q78" i="6"/>
  <c r="F90" i="6"/>
  <c r="L90" i="6" s="1"/>
  <c r="F95" i="6"/>
  <c r="L95" i="6" s="1"/>
  <c r="P83" i="6"/>
  <c r="Q83" i="6"/>
  <c r="Q71" i="6"/>
  <c r="Q66" i="6"/>
  <c r="F97" i="6"/>
  <c r="L97" i="6" s="1"/>
  <c r="P85" i="6"/>
  <c r="F105" i="6"/>
  <c r="L105" i="6" s="1"/>
  <c r="P93" i="6"/>
  <c r="Q93" i="6" s="1"/>
  <c r="W5" i="5"/>
  <c r="X5" i="5" s="1"/>
  <c r="I6" i="5"/>
  <c r="J6" i="5" s="1"/>
  <c r="K6" i="5" s="1"/>
  <c r="F137" i="5"/>
  <c r="U52" i="5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F109" i="4"/>
  <c r="F122" i="4"/>
  <c r="F107" i="4"/>
  <c r="F102" i="4"/>
  <c r="F89" i="4"/>
  <c r="F118" i="4"/>
  <c r="F112" i="4"/>
  <c r="F111" i="4"/>
  <c r="F115" i="4"/>
  <c r="F137" i="4"/>
  <c r="F120" i="4"/>
  <c r="I7" i="4"/>
  <c r="J7" i="4" s="1"/>
  <c r="K7" i="4" s="1"/>
  <c r="S6" i="4"/>
  <c r="T6" i="4" s="1"/>
  <c r="K69" i="3"/>
  <c r="I69" i="3"/>
  <c r="J69" i="3" s="1"/>
  <c r="R6" i="3"/>
  <c r="S6" i="3" s="1"/>
  <c r="I7" i="3"/>
  <c r="J7" i="3" s="1"/>
  <c r="K7" i="3" s="1"/>
  <c r="M106" i="3"/>
  <c r="N106" i="3" s="1"/>
  <c r="L106" i="3" s="1"/>
  <c r="O106" i="3" s="1"/>
  <c r="F118" i="3"/>
  <c r="M118" i="3" s="1"/>
  <c r="N118" i="3" s="1"/>
  <c r="L118" i="3" s="1"/>
  <c r="O118" i="3" s="1"/>
  <c r="F137" i="3"/>
  <c r="F93" i="3"/>
  <c r="M81" i="3"/>
  <c r="N81" i="3" s="1"/>
  <c r="L81" i="3" s="1"/>
  <c r="O81" i="3" s="1"/>
  <c r="F121" i="3"/>
  <c r="M121" i="3" s="1"/>
  <c r="N121" i="3" s="1"/>
  <c r="L121" i="3" s="1"/>
  <c r="O121" i="3" s="1"/>
  <c r="M109" i="3"/>
  <c r="N109" i="3" s="1"/>
  <c r="L109" i="3" s="1"/>
  <c r="O109" i="3" s="1"/>
  <c r="F110" i="3"/>
  <c r="M98" i="3"/>
  <c r="N98" i="3" s="1"/>
  <c r="L98" i="3" s="1"/>
  <c r="O98" i="3" s="1"/>
  <c r="F87" i="3"/>
  <c r="M75" i="3"/>
  <c r="N75" i="3" s="1"/>
  <c r="L75" i="3" s="1"/>
  <c r="O75" i="3" s="1"/>
  <c r="F100" i="3"/>
  <c r="M88" i="3"/>
  <c r="N88" i="3" s="1"/>
  <c r="L88" i="3" s="1"/>
  <c r="O88" i="3" s="1"/>
  <c r="M91" i="3"/>
  <c r="N91" i="3" s="1"/>
  <c r="L91" i="3" s="1"/>
  <c r="O91" i="3" s="1"/>
  <c r="F103" i="3"/>
  <c r="F114" i="3"/>
  <c r="M114" i="3" s="1"/>
  <c r="N114" i="3" s="1"/>
  <c r="L114" i="3" s="1"/>
  <c r="O114" i="3" s="1"/>
  <c r="M102" i="3"/>
  <c r="N102" i="3" s="1"/>
  <c r="L102" i="3" s="1"/>
  <c r="O102" i="3" s="1"/>
  <c r="M95" i="3"/>
  <c r="N95" i="3" s="1"/>
  <c r="L95" i="3" s="1"/>
  <c r="O95" i="3" s="1"/>
  <c r="F107" i="3"/>
  <c r="F104" i="3"/>
  <c r="M92" i="3"/>
  <c r="N92" i="3" s="1"/>
  <c r="L92" i="3" s="1"/>
  <c r="O92" i="3" s="1"/>
  <c r="F89" i="3"/>
  <c r="M77" i="3"/>
  <c r="N77" i="3" s="1"/>
  <c r="L77" i="3" s="1"/>
  <c r="O77" i="3" s="1"/>
  <c r="F108" i="3"/>
  <c r="M96" i="3"/>
  <c r="N96" i="3" s="1"/>
  <c r="L96" i="3" s="1"/>
  <c r="O96" i="3" s="1"/>
  <c r="J6" i="2"/>
  <c r="K6" i="2" s="1"/>
  <c r="I7" i="2" s="1"/>
  <c r="R5" i="2"/>
  <c r="S5" i="2" s="1"/>
  <c r="P9" i="2"/>
  <c r="L10" i="2"/>
  <c r="O10" i="2" s="1"/>
  <c r="F108" i="5" l="1"/>
  <c r="Q96" i="5"/>
  <c r="R96" i="5" s="1"/>
  <c r="M96" i="5"/>
  <c r="N96" i="5" s="1"/>
  <c r="R87" i="5"/>
  <c r="F100" i="5"/>
  <c r="M88" i="5"/>
  <c r="N88" i="5" s="1"/>
  <c r="Q88" i="5"/>
  <c r="R88" i="5" s="1"/>
  <c r="P67" i="5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F113" i="5"/>
  <c r="Q101" i="5"/>
  <c r="M101" i="5"/>
  <c r="N101" i="5" s="1"/>
  <c r="F104" i="5"/>
  <c r="Q92" i="5"/>
  <c r="M92" i="5"/>
  <c r="N92" i="5" s="1"/>
  <c r="R94" i="5"/>
  <c r="F110" i="5"/>
  <c r="Q98" i="5"/>
  <c r="M98" i="5"/>
  <c r="N98" i="5" s="1"/>
  <c r="F107" i="5"/>
  <c r="Q95" i="5"/>
  <c r="M95" i="5"/>
  <c r="N95" i="5" s="1"/>
  <c r="F118" i="5"/>
  <c r="M106" i="5"/>
  <c r="N106" i="5" s="1"/>
  <c r="Q106" i="5"/>
  <c r="F105" i="5"/>
  <c r="Q93" i="5"/>
  <c r="M93" i="5"/>
  <c r="N93" i="5" s="1"/>
  <c r="R97" i="5"/>
  <c r="F111" i="5"/>
  <c r="Q99" i="5"/>
  <c r="M99" i="5"/>
  <c r="N99" i="5" s="1"/>
  <c r="F103" i="5"/>
  <c r="Q91" i="5"/>
  <c r="M91" i="5"/>
  <c r="N91" i="5" s="1"/>
  <c r="F121" i="5"/>
  <c r="M109" i="5"/>
  <c r="N109" i="5" s="1"/>
  <c r="Q109" i="5"/>
  <c r="F102" i="5"/>
  <c r="M90" i="5"/>
  <c r="N90" i="5" s="1"/>
  <c r="Q90" i="5"/>
  <c r="R90" i="5" s="1"/>
  <c r="L85" i="8"/>
  <c r="O85" i="8" s="1"/>
  <c r="S85" i="8" s="1"/>
  <c r="O79" i="8"/>
  <c r="S79" i="8" s="1"/>
  <c r="O108" i="8"/>
  <c r="S108" i="8" s="1"/>
  <c r="L75" i="8"/>
  <c r="O75" i="8" s="1"/>
  <c r="S75" i="8" s="1"/>
  <c r="L92" i="8"/>
  <c r="O92" i="8" s="1"/>
  <c r="W90" i="8"/>
  <c r="N90" i="8"/>
  <c r="L90" i="8" s="1"/>
  <c r="W97" i="8"/>
  <c r="N97" i="8"/>
  <c r="L97" i="8"/>
  <c r="N93" i="8"/>
  <c r="W93" i="8"/>
  <c r="L93" i="8"/>
  <c r="N88" i="8"/>
  <c r="W88" i="8"/>
  <c r="L88" i="8"/>
  <c r="W91" i="8"/>
  <c r="L91" i="8" s="1"/>
  <c r="O91" i="8" s="1"/>
  <c r="N91" i="8"/>
  <c r="W107" i="8"/>
  <c r="L107" i="8" s="1"/>
  <c r="O107" i="8" s="1"/>
  <c r="N107" i="8"/>
  <c r="O82" i="8"/>
  <c r="S82" i="8" s="1"/>
  <c r="O81" i="8"/>
  <c r="S81" i="8" s="1"/>
  <c r="N94" i="8"/>
  <c r="L94" i="8" s="1"/>
  <c r="W94" i="8"/>
  <c r="W101" i="8"/>
  <c r="N101" i="8"/>
  <c r="L101" i="8"/>
  <c r="N87" i="8"/>
  <c r="L87" i="8" s="1"/>
  <c r="W87" i="8"/>
  <c r="W104" i="8"/>
  <c r="N104" i="8"/>
  <c r="L104" i="8"/>
  <c r="O95" i="8"/>
  <c r="S95" i="8" s="1"/>
  <c r="N110" i="8"/>
  <c r="W110" i="8"/>
  <c r="L110" i="8"/>
  <c r="O110" i="8" s="1"/>
  <c r="W120" i="8"/>
  <c r="N120" i="8"/>
  <c r="S98" i="8"/>
  <c r="S76" i="8"/>
  <c r="I7" i="8"/>
  <c r="J7" i="8" s="1"/>
  <c r="K7" i="8" s="1"/>
  <c r="X6" i="8"/>
  <c r="Y6" i="8" s="1"/>
  <c r="F102" i="8"/>
  <c r="M90" i="8"/>
  <c r="R90" i="8"/>
  <c r="Q63" i="8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F119" i="8"/>
  <c r="R107" i="8"/>
  <c r="M107" i="8"/>
  <c r="M120" i="8"/>
  <c r="R120" i="8"/>
  <c r="F116" i="8"/>
  <c r="R104" i="8"/>
  <c r="M104" i="8"/>
  <c r="S78" i="8"/>
  <c r="F109" i="8"/>
  <c r="R97" i="8"/>
  <c r="M97" i="8"/>
  <c r="F138" i="8"/>
  <c r="S92" i="8"/>
  <c r="F106" i="8"/>
  <c r="R94" i="8"/>
  <c r="M94" i="8"/>
  <c r="F105" i="8"/>
  <c r="R93" i="8"/>
  <c r="M93" i="8"/>
  <c r="S89" i="8"/>
  <c r="F100" i="8"/>
  <c r="R88" i="8"/>
  <c r="M88" i="8"/>
  <c r="F103" i="8"/>
  <c r="R91" i="8"/>
  <c r="M91" i="8"/>
  <c r="F122" i="8"/>
  <c r="R110" i="8"/>
  <c r="M110" i="8"/>
  <c r="F113" i="8"/>
  <c r="R101" i="8"/>
  <c r="M101" i="8"/>
  <c r="M87" i="8"/>
  <c r="F99" i="8"/>
  <c r="R87" i="8"/>
  <c r="L87" i="6"/>
  <c r="P87" i="6"/>
  <c r="F99" i="6"/>
  <c r="Q75" i="6"/>
  <c r="F125" i="6"/>
  <c r="L113" i="6"/>
  <c r="F144" i="6"/>
  <c r="L132" i="6"/>
  <c r="F136" i="6"/>
  <c r="L124" i="6"/>
  <c r="F127" i="6"/>
  <c r="L115" i="6"/>
  <c r="R66" i="6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63" i="7"/>
  <c r="T6" i="7"/>
  <c r="U6" i="7" s="1"/>
  <c r="I7" i="7"/>
  <c r="J7" i="7" s="1"/>
  <c r="K7" i="7" s="1"/>
  <c r="O89" i="7"/>
  <c r="N89" i="7"/>
  <c r="F101" i="7"/>
  <c r="Q101" i="7" s="1"/>
  <c r="F104" i="7"/>
  <c r="Q104" i="7" s="1"/>
  <c r="N92" i="7"/>
  <c r="O92" i="7"/>
  <c r="F137" i="7"/>
  <c r="N120" i="7"/>
  <c r="O120" i="7"/>
  <c r="O109" i="7"/>
  <c r="N109" i="7"/>
  <c r="F121" i="7"/>
  <c r="Q121" i="7" s="1"/>
  <c r="O95" i="7"/>
  <c r="N95" i="7"/>
  <c r="F107" i="7"/>
  <c r="Q107" i="7" s="1"/>
  <c r="N115" i="7"/>
  <c r="O115" i="7"/>
  <c r="O100" i="7"/>
  <c r="N100" i="7"/>
  <c r="F112" i="7"/>
  <c r="Q112" i="7" s="1"/>
  <c r="O105" i="7"/>
  <c r="N105" i="7"/>
  <c r="F117" i="7"/>
  <c r="Q117" i="7" s="1"/>
  <c r="N87" i="7"/>
  <c r="O87" i="7"/>
  <c r="F99" i="7"/>
  <c r="Q99" i="7" s="1"/>
  <c r="O90" i="7"/>
  <c r="F102" i="7"/>
  <c r="N90" i="7"/>
  <c r="O94" i="7"/>
  <c r="F106" i="7"/>
  <c r="Q106" i="7" s="1"/>
  <c r="N94" i="7"/>
  <c r="I8" i="6"/>
  <c r="J8" i="6" s="1"/>
  <c r="K8" i="6" s="1"/>
  <c r="T7" i="6"/>
  <c r="U7" i="6" s="1"/>
  <c r="F110" i="6"/>
  <c r="L110" i="6" s="1"/>
  <c r="P98" i="6"/>
  <c r="Q98" i="6"/>
  <c r="Q120" i="6"/>
  <c r="P97" i="6"/>
  <c r="F109" i="6"/>
  <c r="L109" i="6" s="1"/>
  <c r="P115" i="6"/>
  <c r="Q115" i="6" s="1"/>
  <c r="F117" i="6"/>
  <c r="P105" i="6"/>
  <c r="Q85" i="6"/>
  <c r="F102" i="6"/>
  <c r="L102" i="6" s="1"/>
  <c r="P90" i="6"/>
  <c r="Q90" i="6" s="1"/>
  <c r="F107" i="6"/>
  <c r="L107" i="6" s="1"/>
  <c r="P95" i="6"/>
  <c r="F104" i="6"/>
  <c r="L104" i="6" s="1"/>
  <c r="P92" i="6"/>
  <c r="Q92" i="6"/>
  <c r="P113" i="6"/>
  <c r="P94" i="6"/>
  <c r="Q94" i="6"/>
  <c r="F106" i="6"/>
  <c r="L106" i="6" s="1"/>
  <c r="W6" i="5"/>
  <c r="X6" i="5" s="1"/>
  <c r="I7" i="5"/>
  <c r="J7" i="5" s="1"/>
  <c r="K7" i="5" s="1"/>
  <c r="F138" i="5"/>
  <c r="S7" i="4"/>
  <c r="T7" i="4" s="1"/>
  <c r="I8" i="4"/>
  <c r="J8" i="4" s="1"/>
  <c r="K8" i="4" s="1"/>
  <c r="F138" i="4"/>
  <c r="F114" i="4"/>
  <c r="F119" i="4"/>
  <c r="F101" i="4"/>
  <c r="F121" i="4"/>
  <c r="I70" i="3"/>
  <c r="J70" i="3" s="1"/>
  <c r="K70" i="3" s="1"/>
  <c r="I8" i="3"/>
  <c r="J8" i="3" s="1"/>
  <c r="K8" i="3" s="1"/>
  <c r="R7" i="3"/>
  <c r="S7" i="3" s="1"/>
  <c r="M87" i="3"/>
  <c r="N87" i="3" s="1"/>
  <c r="L87" i="3" s="1"/>
  <c r="O87" i="3" s="1"/>
  <c r="F99" i="3"/>
  <c r="F122" i="3"/>
  <c r="M110" i="3"/>
  <c r="N110" i="3" s="1"/>
  <c r="L110" i="3" s="1"/>
  <c r="O110" i="3" s="1"/>
  <c r="F120" i="3"/>
  <c r="M120" i="3" s="1"/>
  <c r="N120" i="3" s="1"/>
  <c r="L120" i="3" s="1"/>
  <c r="O120" i="3" s="1"/>
  <c r="M108" i="3"/>
  <c r="N108" i="3" s="1"/>
  <c r="L108" i="3" s="1"/>
  <c r="O108" i="3" s="1"/>
  <c r="F115" i="3"/>
  <c r="M115" i="3" s="1"/>
  <c r="N115" i="3" s="1"/>
  <c r="L115" i="3" s="1"/>
  <c r="O115" i="3" s="1"/>
  <c r="M103" i="3"/>
  <c r="N103" i="3" s="1"/>
  <c r="L103" i="3" s="1"/>
  <c r="O103" i="3" s="1"/>
  <c r="M100" i="3"/>
  <c r="N100" i="3" s="1"/>
  <c r="L100" i="3" s="1"/>
  <c r="O100" i="3" s="1"/>
  <c r="F112" i="3"/>
  <c r="M112" i="3" s="1"/>
  <c r="N112" i="3" s="1"/>
  <c r="L112" i="3" s="1"/>
  <c r="O112" i="3" s="1"/>
  <c r="F105" i="3"/>
  <c r="M93" i="3"/>
  <c r="N93" i="3" s="1"/>
  <c r="L93" i="3" s="1"/>
  <c r="O93" i="3" s="1"/>
  <c r="M89" i="3"/>
  <c r="N89" i="3" s="1"/>
  <c r="L89" i="3" s="1"/>
  <c r="O89" i="3" s="1"/>
  <c r="F101" i="3"/>
  <c r="F138" i="3"/>
  <c r="F116" i="3"/>
  <c r="M116" i="3" s="1"/>
  <c r="N116" i="3" s="1"/>
  <c r="L116" i="3" s="1"/>
  <c r="O116" i="3" s="1"/>
  <c r="M104" i="3"/>
  <c r="N104" i="3" s="1"/>
  <c r="L104" i="3" s="1"/>
  <c r="O104" i="3" s="1"/>
  <c r="F119" i="3"/>
  <c r="M119" i="3" s="1"/>
  <c r="N119" i="3" s="1"/>
  <c r="L119" i="3" s="1"/>
  <c r="O119" i="3" s="1"/>
  <c r="M107" i="3"/>
  <c r="N107" i="3" s="1"/>
  <c r="L107" i="3" s="1"/>
  <c r="O107" i="3" s="1"/>
  <c r="J7" i="2"/>
  <c r="K7" i="2" s="1"/>
  <c r="I8" i="2" s="1"/>
  <c r="L11" i="2"/>
  <c r="O11" i="2" s="1"/>
  <c r="P10" i="2"/>
  <c r="Q75" i="8" l="1"/>
  <c r="Q76" i="8" s="1"/>
  <c r="Q77" i="8" s="1"/>
  <c r="O90" i="8"/>
  <c r="R95" i="5"/>
  <c r="R109" i="5"/>
  <c r="M121" i="5"/>
  <c r="N121" i="5" s="1"/>
  <c r="Q121" i="5"/>
  <c r="R121" i="5" s="1"/>
  <c r="F119" i="5"/>
  <c r="M107" i="5"/>
  <c r="N107" i="5" s="1"/>
  <c r="Q107" i="5"/>
  <c r="F114" i="5"/>
  <c r="Q102" i="5"/>
  <c r="M102" i="5"/>
  <c r="N102" i="5" s="1"/>
  <c r="R91" i="5"/>
  <c r="R101" i="5"/>
  <c r="R98" i="5"/>
  <c r="F122" i="5"/>
  <c r="M110" i="5"/>
  <c r="N110" i="5" s="1"/>
  <c r="Q110" i="5"/>
  <c r="R110" i="5" s="1"/>
  <c r="R92" i="5"/>
  <c r="F116" i="5"/>
  <c r="M104" i="5"/>
  <c r="N104" i="5" s="1"/>
  <c r="Q104" i="5"/>
  <c r="R104" i="5" s="1"/>
  <c r="F115" i="5"/>
  <c r="Q103" i="5"/>
  <c r="R103" i="5" s="1"/>
  <c r="M103" i="5"/>
  <c r="N103" i="5" s="1"/>
  <c r="Q113" i="5"/>
  <c r="M113" i="5"/>
  <c r="N113" i="5" s="1"/>
  <c r="R99" i="5"/>
  <c r="R93" i="5"/>
  <c r="R106" i="5"/>
  <c r="M111" i="5"/>
  <c r="N111" i="5" s="1"/>
  <c r="Q111" i="5"/>
  <c r="R111" i="5" s="1"/>
  <c r="F112" i="5"/>
  <c r="G138" i="5" s="1"/>
  <c r="Q100" i="5"/>
  <c r="M100" i="5"/>
  <c r="N100" i="5" s="1"/>
  <c r="G134" i="5"/>
  <c r="G135" i="5"/>
  <c r="P90" i="5"/>
  <c r="P91" i="5" s="1"/>
  <c r="P92" i="5" s="1"/>
  <c r="P93" i="5" s="1"/>
  <c r="P94" i="5" s="1"/>
  <c r="P95" i="5" s="1"/>
  <c r="P96" i="5" s="1"/>
  <c r="P97" i="5" s="1"/>
  <c r="P98" i="5" s="1"/>
  <c r="P99" i="5" s="1"/>
  <c r="F117" i="5"/>
  <c r="M105" i="5"/>
  <c r="N105" i="5" s="1"/>
  <c r="Q105" i="5"/>
  <c r="R105" i="5" s="1"/>
  <c r="Q118" i="5"/>
  <c r="R118" i="5" s="1"/>
  <c r="M118" i="5"/>
  <c r="N118" i="5" s="1"/>
  <c r="F120" i="5"/>
  <c r="M108" i="5"/>
  <c r="N108" i="5" s="1"/>
  <c r="Q108" i="5"/>
  <c r="R108" i="5" s="1"/>
  <c r="O104" i="8"/>
  <c r="O87" i="8"/>
  <c r="O101" i="8"/>
  <c r="W100" i="8"/>
  <c r="N100" i="8"/>
  <c r="L100" i="8"/>
  <c r="N119" i="8"/>
  <c r="W119" i="8"/>
  <c r="L119" i="8"/>
  <c r="W105" i="8"/>
  <c r="N105" i="8"/>
  <c r="L105" i="8" s="1"/>
  <c r="N102" i="8"/>
  <c r="W102" i="8"/>
  <c r="L102" i="8" s="1"/>
  <c r="O102" i="8" s="1"/>
  <c r="O88" i="8"/>
  <c r="S88" i="8" s="1"/>
  <c r="N106" i="8"/>
  <c r="W106" i="8"/>
  <c r="L106" i="8"/>
  <c r="O94" i="8"/>
  <c r="S94" i="8" s="1"/>
  <c r="O97" i="8"/>
  <c r="S97" i="8" s="1"/>
  <c r="W113" i="8"/>
  <c r="L113" i="8" s="1"/>
  <c r="N113" i="8"/>
  <c r="L120" i="8"/>
  <c r="O120" i="8" s="1"/>
  <c r="S120" i="8" s="1"/>
  <c r="W103" i="8"/>
  <c r="L103" i="8" s="1"/>
  <c r="N103" i="8"/>
  <c r="S90" i="8"/>
  <c r="O93" i="8"/>
  <c r="S93" i="8" s="1"/>
  <c r="W99" i="8"/>
  <c r="N99" i="8"/>
  <c r="L99" i="8"/>
  <c r="N109" i="8"/>
  <c r="W109" i="8"/>
  <c r="W122" i="8"/>
  <c r="N122" i="8"/>
  <c r="L122" i="8"/>
  <c r="O122" i="8" s="1"/>
  <c r="N116" i="8"/>
  <c r="W116" i="8"/>
  <c r="L116" i="8"/>
  <c r="S104" i="8"/>
  <c r="I8" i="8"/>
  <c r="J8" i="8" s="1"/>
  <c r="X7" i="8"/>
  <c r="Y7" i="8" s="1"/>
  <c r="K8" i="8"/>
  <c r="S110" i="8"/>
  <c r="M109" i="8"/>
  <c r="R109" i="8"/>
  <c r="F121" i="8"/>
  <c r="S91" i="8"/>
  <c r="R116" i="8"/>
  <c r="M116" i="8"/>
  <c r="F139" i="8"/>
  <c r="S107" i="8"/>
  <c r="S101" i="8"/>
  <c r="R122" i="8"/>
  <c r="M122" i="8"/>
  <c r="Q78" i="8"/>
  <c r="Q79" i="8" s="1"/>
  <c r="Q80" i="8" s="1"/>
  <c r="Q81" i="8" s="1"/>
  <c r="Q82" i="8" s="1"/>
  <c r="Q83" i="8" s="1"/>
  <c r="Q84" i="8" s="1"/>
  <c r="Q85" i="8" s="1"/>
  <c r="Q86" i="8" s="1"/>
  <c r="R113" i="8"/>
  <c r="M113" i="8"/>
  <c r="R103" i="8"/>
  <c r="M103" i="8"/>
  <c r="F115" i="8"/>
  <c r="M106" i="8"/>
  <c r="F118" i="8"/>
  <c r="R106" i="8"/>
  <c r="F112" i="8"/>
  <c r="R100" i="8"/>
  <c r="M100" i="8"/>
  <c r="R119" i="8"/>
  <c r="M119" i="8"/>
  <c r="S87" i="8"/>
  <c r="F114" i="8"/>
  <c r="R102" i="8"/>
  <c r="M102" i="8"/>
  <c r="F111" i="8"/>
  <c r="R99" i="8"/>
  <c r="M99" i="8"/>
  <c r="F117" i="8"/>
  <c r="R105" i="8"/>
  <c r="M105" i="8"/>
  <c r="L99" i="6"/>
  <c r="P99" i="6"/>
  <c r="F111" i="6"/>
  <c r="Q87" i="6"/>
  <c r="F129" i="6"/>
  <c r="L117" i="6"/>
  <c r="F148" i="6"/>
  <c r="L136" i="6"/>
  <c r="F156" i="6"/>
  <c r="L144" i="6"/>
  <c r="F139" i="6"/>
  <c r="L127" i="6"/>
  <c r="F137" i="6"/>
  <c r="L125" i="6"/>
  <c r="R64" i="7"/>
  <c r="U63" i="7"/>
  <c r="I8" i="7"/>
  <c r="J8" i="7" s="1"/>
  <c r="K8" i="7" s="1"/>
  <c r="T7" i="7"/>
  <c r="U7" i="7" s="1"/>
  <c r="G136" i="7"/>
  <c r="O121" i="7"/>
  <c r="N121" i="7"/>
  <c r="O112" i="7"/>
  <c r="N112" i="7"/>
  <c r="F116" i="7"/>
  <c r="Q116" i="7" s="1"/>
  <c r="N104" i="7"/>
  <c r="O104" i="7"/>
  <c r="F113" i="7"/>
  <c r="O101" i="7"/>
  <c r="N101" i="7"/>
  <c r="F138" i="7"/>
  <c r="G137" i="7"/>
  <c r="N102" i="7"/>
  <c r="F114" i="7"/>
  <c r="Q114" i="7" s="1"/>
  <c r="O102" i="7"/>
  <c r="O99" i="7"/>
  <c r="F111" i="7"/>
  <c r="Q111" i="7" s="1"/>
  <c r="N99" i="7"/>
  <c r="O117" i="7"/>
  <c r="N117" i="7"/>
  <c r="O106" i="7"/>
  <c r="N106" i="7"/>
  <c r="F118" i="7"/>
  <c r="Q118" i="7" s="1"/>
  <c r="F119" i="7"/>
  <c r="Q119" i="7" s="1"/>
  <c r="O107" i="7"/>
  <c r="N107" i="7"/>
  <c r="G135" i="7"/>
  <c r="R85" i="6"/>
  <c r="R86" i="6" s="1"/>
  <c r="R87" i="6" s="1"/>
  <c r="R88" i="6" s="1"/>
  <c r="R89" i="6" s="1"/>
  <c r="R90" i="6" s="1"/>
  <c r="R91" i="6" s="1"/>
  <c r="R92" i="6" s="1"/>
  <c r="R93" i="6" s="1"/>
  <c r="R94" i="6" s="1"/>
  <c r="I9" i="6"/>
  <c r="J9" i="6" s="1"/>
  <c r="K9" i="6" s="1"/>
  <c r="T8" i="6"/>
  <c r="U8" i="6" s="1"/>
  <c r="P117" i="6"/>
  <c r="Q117" i="6"/>
  <c r="P106" i="6"/>
  <c r="F118" i="6"/>
  <c r="P109" i="6"/>
  <c r="F121" i="6"/>
  <c r="Q109" i="6"/>
  <c r="Q113" i="6"/>
  <c r="Q97" i="6"/>
  <c r="P102" i="6"/>
  <c r="F114" i="6"/>
  <c r="Q102" i="6"/>
  <c r="Q105" i="6"/>
  <c r="F116" i="6"/>
  <c r="P104" i="6"/>
  <c r="F122" i="6"/>
  <c r="P110" i="6"/>
  <c r="Q95" i="6"/>
  <c r="F119" i="6"/>
  <c r="P107" i="6"/>
  <c r="Q107" i="6"/>
  <c r="W7" i="5"/>
  <c r="X7" i="5" s="1"/>
  <c r="I8" i="5"/>
  <c r="J8" i="5" s="1"/>
  <c r="K8" i="5" s="1"/>
  <c r="F139" i="5"/>
  <c r="I9" i="4"/>
  <c r="J9" i="4" s="1"/>
  <c r="K9" i="4" s="1"/>
  <c r="S8" i="4"/>
  <c r="T8" i="4" s="1"/>
  <c r="F113" i="4"/>
  <c r="G134" i="4"/>
  <c r="G129" i="4"/>
  <c r="G131" i="4"/>
  <c r="F139" i="4"/>
  <c r="K71" i="3"/>
  <c r="I71" i="3"/>
  <c r="J71" i="3" s="1"/>
  <c r="R8" i="3"/>
  <c r="S8" i="3" s="1"/>
  <c r="I9" i="3"/>
  <c r="J9" i="3" s="1"/>
  <c r="K9" i="3" s="1"/>
  <c r="F139" i="3"/>
  <c r="F113" i="3"/>
  <c r="M113" i="3" s="1"/>
  <c r="N113" i="3" s="1"/>
  <c r="L113" i="3" s="1"/>
  <c r="O113" i="3" s="1"/>
  <c r="M101" i="3"/>
  <c r="N101" i="3" s="1"/>
  <c r="L101" i="3" s="1"/>
  <c r="O101" i="3" s="1"/>
  <c r="M105" i="3"/>
  <c r="N105" i="3" s="1"/>
  <c r="L105" i="3" s="1"/>
  <c r="O105" i="3" s="1"/>
  <c r="F117" i="3"/>
  <c r="M122" i="3"/>
  <c r="N122" i="3" s="1"/>
  <c r="L122" i="3" s="1"/>
  <c r="O122" i="3" s="1"/>
  <c r="F111" i="3"/>
  <c r="G129" i="3" s="1"/>
  <c r="M99" i="3"/>
  <c r="N99" i="3" s="1"/>
  <c r="L99" i="3" s="1"/>
  <c r="O99" i="3" s="1"/>
  <c r="R6" i="2"/>
  <c r="S6" i="2" s="1"/>
  <c r="J8" i="2"/>
  <c r="K8" i="2" s="1"/>
  <c r="I9" i="2" s="1"/>
  <c r="R7" i="2"/>
  <c r="S7" i="2" s="1"/>
  <c r="L12" i="2"/>
  <c r="O12" i="2" s="1"/>
  <c r="P11" i="2"/>
  <c r="M122" i="5" l="1"/>
  <c r="N122" i="5" s="1"/>
  <c r="Q122" i="5"/>
  <c r="R122" i="5" s="1"/>
  <c r="Q115" i="5"/>
  <c r="M115" i="5"/>
  <c r="N115" i="5" s="1"/>
  <c r="Q116" i="5"/>
  <c r="M116" i="5"/>
  <c r="N116" i="5" s="1"/>
  <c r="G133" i="5"/>
  <c r="G131" i="5"/>
  <c r="R100" i="5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R102" i="5"/>
  <c r="M120" i="5"/>
  <c r="N120" i="5" s="1"/>
  <c r="Q120" i="5"/>
  <c r="R120" i="5" s="1"/>
  <c r="R113" i="5"/>
  <c r="Q117" i="5"/>
  <c r="M117" i="5"/>
  <c r="N117" i="5" s="1"/>
  <c r="G136" i="5"/>
  <c r="G132" i="5"/>
  <c r="M112" i="5"/>
  <c r="N112" i="5" s="1"/>
  <c r="Q112" i="5"/>
  <c r="R112" i="5" s="1"/>
  <c r="G137" i="5"/>
  <c r="G130" i="5"/>
  <c r="G129" i="5"/>
  <c r="Q114" i="5"/>
  <c r="R114" i="5" s="1"/>
  <c r="M114" i="5"/>
  <c r="N114" i="5" s="1"/>
  <c r="R107" i="5"/>
  <c r="M119" i="5"/>
  <c r="N119" i="5" s="1"/>
  <c r="Q119" i="5"/>
  <c r="R119" i="5" s="1"/>
  <c r="O106" i="8"/>
  <c r="S106" i="8" s="1"/>
  <c r="O99" i="8"/>
  <c r="O103" i="8"/>
  <c r="O105" i="8"/>
  <c r="O119" i="8"/>
  <c r="N112" i="8"/>
  <c r="W112" i="8"/>
  <c r="L112" i="8" s="1"/>
  <c r="N118" i="8"/>
  <c r="L118" i="8" s="1"/>
  <c r="W118" i="8"/>
  <c r="O116" i="8"/>
  <c r="S116" i="8" s="1"/>
  <c r="Q87" i="8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G132" i="8"/>
  <c r="W114" i="8"/>
  <c r="N114" i="8"/>
  <c r="L114" i="8"/>
  <c r="O114" i="8" s="1"/>
  <c r="W121" i="8"/>
  <c r="N121" i="8"/>
  <c r="N115" i="8"/>
  <c r="W115" i="8"/>
  <c r="L115" i="8"/>
  <c r="N117" i="8"/>
  <c r="W117" i="8"/>
  <c r="L117" i="8" s="1"/>
  <c r="O100" i="8"/>
  <c r="S100" i="8" s="1"/>
  <c r="O113" i="8"/>
  <c r="S113" i="8" s="1"/>
  <c r="W111" i="8"/>
  <c r="N111" i="8"/>
  <c r="L109" i="8"/>
  <c r="O109" i="8" s="1"/>
  <c r="S109" i="8" s="1"/>
  <c r="G131" i="8"/>
  <c r="S99" i="8"/>
  <c r="S103" i="8"/>
  <c r="S102" i="8"/>
  <c r="G138" i="8"/>
  <c r="M112" i="8"/>
  <c r="R112" i="8"/>
  <c r="G130" i="8"/>
  <c r="S105" i="8"/>
  <c r="S119" i="8"/>
  <c r="R121" i="8"/>
  <c r="M121" i="8"/>
  <c r="G129" i="8"/>
  <c r="M117" i="8"/>
  <c r="R117" i="8"/>
  <c r="I9" i="8"/>
  <c r="J9" i="8" s="1"/>
  <c r="K9" i="8" s="1"/>
  <c r="X8" i="8"/>
  <c r="Y8" i="8" s="1"/>
  <c r="R114" i="8"/>
  <c r="M114" i="8"/>
  <c r="S122" i="8"/>
  <c r="G137" i="8"/>
  <c r="R115" i="8"/>
  <c r="M115" i="8"/>
  <c r="R111" i="8"/>
  <c r="M111" i="8"/>
  <c r="G136" i="8"/>
  <c r="G134" i="8"/>
  <c r="R118" i="8"/>
  <c r="M118" i="8"/>
  <c r="G133" i="8"/>
  <c r="G135" i="8"/>
  <c r="F123" i="6"/>
  <c r="L111" i="6"/>
  <c r="P111" i="6"/>
  <c r="Q99" i="6"/>
  <c r="F128" i="6"/>
  <c r="L116" i="6"/>
  <c r="Q116" i="6" s="1"/>
  <c r="F126" i="6"/>
  <c r="L114" i="6"/>
  <c r="F133" i="6"/>
  <c r="L121" i="6"/>
  <c r="F149" i="6"/>
  <c r="L137" i="6"/>
  <c r="F130" i="6"/>
  <c r="L118" i="6"/>
  <c r="F168" i="6"/>
  <c r="L156" i="6"/>
  <c r="F134" i="6"/>
  <c r="L122" i="6"/>
  <c r="F160" i="6"/>
  <c r="L148" i="6"/>
  <c r="F141" i="6"/>
  <c r="L129" i="6"/>
  <c r="F151" i="6"/>
  <c r="L139" i="6"/>
  <c r="L119" i="6"/>
  <c r="F131" i="6"/>
  <c r="R65" i="7"/>
  <c r="U64" i="7"/>
  <c r="G129" i="7"/>
  <c r="Q113" i="7"/>
  <c r="I9" i="7"/>
  <c r="J9" i="7" s="1"/>
  <c r="K9" i="7" s="1"/>
  <c r="T8" i="7"/>
  <c r="U8" i="7" s="1"/>
  <c r="O118" i="7"/>
  <c r="N118" i="7"/>
  <c r="N119" i="7"/>
  <c r="O119" i="7"/>
  <c r="O116" i="7"/>
  <c r="N116" i="7"/>
  <c r="G133" i="7"/>
  <c r="N113" i="7"/>
  <c r="O113" i="7"/>
  <c r="G131" i="7"/>
  <c r="O114" i="7"/>
  <c r="N114" i="7"/>
  <c r="G138" i="7"/>
  <c r="F139" i="7"/>
  <c r="G132" i="7"/>
  <c r="O111" i="7"/>
  <c r="N111" i="7"/>
  <c r="G134" i="7"/>
  <c r="G130" i="7"/>
  <c r="R95" i="6"/>
  <c r="R96" i="6" s="1"/>
  <c r="R97" i="6" s="1"/>
  <c r="R98" i="6" s="1"/>
  <c r="R99" i="6" s="1"/>
  <c r="R100" i="6" s="1"/>
  <c r="R101" i="6" s="1"/>
  <c r="R102" i="6" s="1"/>
  <c r="R103" i="6" s="1"/>
  <c r="T9" i="6"/>
  <c r="U9" i="6" s="1"/>
  <c r="I10" i="6"/>
  <c r="J10" i="6" s="1"/>
  <c r="K10" i="6" s="1"/>
  <c r="Q106" i="6"/>
  <c r="P114" i="6"/>
  <c r="Q114" i="6"/>
  <c r="P121" i="6"/>
  <c r="Q121" i="6"/>
  <c r="P118" i="6"/>
  <c r="P119" i="6"/>
  <c r="P122" i="6"/>
  <c r="Q110" i="6"/>
  <c r="Q104" i="6"/>
  <c r="P116" i="6"/>
  <c r="I9" i="5"/>
  <c r="J9" i="5" s="1"/>
  <c r="K9" i="5" s="1"/>
  <c r="W8" i="5"/>
  <c r="X8" i="5" s="1"/>
  <c r="G132" i="4"/>
  <c r="G130" i="4"/>
  <c r="G133" i="4"/>
  <c r="I10" i="4"/>
  <c r="J10" i="4" s="1"/>
  <c r="K10" i="4" s="1"/>
  <c r="S9" i="4"/>
  <c r="T9" i="4" s="1"/>
  <c r="I72" i="3"/>
  <c r="J72" i="3" s="1"/>
  <c r="K72" i="3" s="1"/>
  <c r="G132" i="3"/>
  <c r="R9" i="3"/>
  <c r="S9" i="3" s="1"/>
  <c r="I10" i="3"/>
  <c r="J10" i="3" s="1"/>
  <c r="K10" i="3" s="1"/>
  <c r="M117" i="3"/>
  <c r="N117" i="3" s="1"/>
  <c r="L117" i="3" s="1"/>
  <c r="O117" i="3" s="1"/>
  <c r="G133" i="3"/>
  <c r="G131" i="3"/>
  <c r="M111" i="3"/>
  <c r="N111" i="3" s="1"/>
  <c r="L111" i="3" s="1"/>
  <c r="O111" i="3" s="1"/>
  <c r="G130" i="3"/>
  <c r="J9" i="2"/>
  <c r="K9" i="2" s="1"/>
  <c r="I10" i="2" s="1"/>
  <c r="R8" i="2"/>
  <c r="S8" i="2" s="1"/>
  <c r="L13" i="2"/>
  <c r="O13" i="2" s="1"/>
  <c r="P12" i="2"/>
  <c r="O118" i="8" l="1"/>
  <c r="O115" i="8"/>
  <c r="R116" i="5"/>
  <c r="R115" i="5"/>
  <c r="P115" i="5" s="1"/>
  <c r="P116" i="5" s="1"/>
  <c r="P117" i="5" s="1"/>
  <c r="P118" i="5" s="1"/>
  <c r="P119" i="5" s="1"/>
  <c r="P120" i="5" s="1"/>
  <c r="P121" i="5" s="1"/>
  <c r="P122" i="5" s="1"/>
  <c r="R117" i="5"/>
  <c r="O112" i="8"/>
  <c r="O117" i="8"/>
  <c r="L111" i="8"/>
  <c r="O111" i="8" s="1"/>
  <c r="S112" i="8"/>
  <c r="L121" i="8"/>
  <c r="O121" i="8" s="1"/>
  <c r="S117" i="8"/>
  <c r="Q100" i="8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I10" i="8"/>
  <c r="J10" i="8" s="1"/>
  <c r="K10" i="8" s="1"/>
  <c r="X9" i="8"/>
  <c r="Y9" i="8" s="1"/>
  <c r="S121" i="8"/>
  <c r="S118" i="8"/>
  <c r="S114" i="8"/>
  <c r="S111" i="8"/>
  <c r="Q111" i="8" s="1"/>
  <c r="Q112" i="8" s="1"/>
  <c r="Q113" i="8" s="1"/>
  <c r="Q114" i="8" s="1"/>
  <c r="S115" i="8"/>
  <c r="Q111" i="6"/>
  <c r="L123" i="6"/>
  <c r="F135" i="6"/>
  <c r="F180" i="6"/>
  <c r="L168" i="6"/>
  <c r="F163" i="6"/>
  <c r="L151" i="6"/>
  <c r="F153" i="6"/>
  <c r="L141" i="6"/>
  <c r="F172" i="6"/>
  <c r="L160" i="6"/>
  <c r="F146" i="6"/>
  <c r="L134" i="6"/>
  <c r="F142" i="6"/>
  <c r="L130" i="6"/>
  <c r="F161" i="6"/>
  <c r="L149" i="6"/>
  <c r="F145" i="6"/>
  <c r="L133" i="6"/>
  <c r="F138" i="6"/>
  <c r="L126" i="6"/>
  <c r="F143" i="6"/>
  <c r="L131" i="6"/>
  <c r="F140" i="6"/>
  <c r="L128" i="6"/>
  <c r="R66" i="7"/>
  <c r="U65" i="7"/>
  <c r="I10" i="7"/>
  <c r="J10" i="7" s="1"/>
  <c r="K10" i="7" s="1"/>
  <c r="T9" i="7"/>
  <c r="U9" i="7" s="1"/>
  <c r="T10" i="6"/>
  <c r="U10" i="6" s="1"/>
  <c r="I11" i="6"/>
  <c r="J11" i="6" s="1"/>
  <c r="K11" i="6" s="1"/>
  <c r="Q118" i="6"/>
  <c r="R104" i="6"/>
  <c r="R105" i="6" s="1"/>
  <c r="R106" i="6" s="1"/>
  <c r="R107" i="6" s="1"/>
  <c r="R108" i="6" s="1"/>
  <c r="R109" i="6" s="1"/>
  <c r="R110" i="6" s="1"/>
  <c r="R111" i="6" s="1"/>
  <c r="R112" i="6" s="1"/>
  <c r="R113" i="6" s="1"/>
  <c r="R114" i="6" s="1"/>
  <c r="R115" i="6" s="1"/>
  <c r="R116" i="6" s="1"/>
  <c r="R117" i="6" s="1"/>
  <c r="R118" i="6" s="1"/>
  <c r="Q119" i="6"/>
  <c r="I10" i="5"/>
  <c r="J10" i="5" s="1"/>
  <c r="K10" i="5" s="1"/>
  <c r="W9" i="5"/>
  <c r="X9" i="5" s="1"/>
  <c r="I11" i="4"/>
  <c r="J11" i="4" s="1"/>
  <c r="K11" i="4" s="1"/>
  <c r="S10" i="4"/>
  <c r="T10" i="4" s="1"/>
  <c r="I73" i="3"/>
  <c r="J73" i="3" s="1"/>
  <c r="K73" i="3" s="1"/>
  <c r="I11" i="3"/>
  <c r="J11" i="3" s="1"/>
  <c r="K11" i="3" s="1"/>
  <c r="R10" i="3"/>
  <c r="S10" i="3" s="1"/>
  <c r="J10" i="2"/>
  <c r="K10" i="2" s="1"/>
  <c r="I11" i="2" s="1"/>
  <c r="L14" i="2"/>
  <c r="O14" i="2" s="1"/>
  <c r="P13" i="2"/>
  <c r="Q115" i="8" l="1"/>
  <c r="Q116" i="8" s="1"/>
  <c r="Q117" i="8" s="1"/>
  <c r="Q118" i="8" s="1"/>
  <c r="Q119" i="8" s="1"/>
  <c r="Q120" i="8" s="1"/>
  <c r="Q121" i="8" s="1"/>
  <c r="Q122" i="8" s="1"/>
  <c r="V122" i="8" s="1"/>
  <c r="G139" i="8"/>
  <c r="G126" i="8" s="1"/>
  <c r="I11" i="8"/>
  <c r="J11" i="8" s="1"/>
  <c r="K11" i="8" s="1"/>
  <c r="X10" i="8"/>
  <c r="Y10" i="8" s="1"/>
  <c r="L135" i="6"/>
  <c r="F147" i="6"/>
  <c r="F155" i="6"/>
  <c r="L143" i="6"/>
  <c r="F150" i="6"/>
  <c r="L138" i="6"/>
  <c r="F157" i="6"/>
  <c r="L145" i="6"/>
  <c r="F173" i="6"/>
  <c r="L161" i="6"/>
  <c r="F154" i="6"/>
  <c r="L142" i="6"/>
  <c r="F158" i="6"/>
  <c r="L146" i="6"/>
  <c r="F184" i="6"/>
  <c r="L172" i="6"/>
  <c r="F165" i="6"/>
  <c r="L153" i="6"/>
  <c r="F175" i="6"/>
  <c r="L163" i="6"/>
  <c r="F152" i="6"/>
  <c r="L140" i="6"/>
  <c r="F192" i="6"/>
  <c r="L180" i="6"/>
  <c r="R67" i="7"/>
  <c r="U66" i="7"/>
  <c r="I11" i="7"/>
  <c r="J11" i="7" s="1"/>
  <c r="K11" i="7" s="1"/>
  <c r="T10" i="7"/>
  <c r="U10" i="7" s="1"/>
  <c r="R119" i="6"/>
  <c r="R120" i="6" s="1"/>
  <c r="R121" i="6" s="1"/>
  <c r="T11" i="6"/>
  <c r="U11" i="6" s="1"/>
  <c r="I12" i="6"/>
  <c r="J12" i="6" s="1"/>
  <c r="K12" i="6" s="1"/>
  <c r="I11" i="5"/>
  <c r="J11" i="5" s="1"/>
  <c r="K11" i="5" s="1"/>
  <c r="W10" i="5"/>
  <c r="X10" i="5" s="1"/>
  <c r="I12" i="4"/>
  <c r="J12" i="4" s="1"/>
  <c r="K12" i="4" s="1"/>
  <c r="S11" i="4"/>
  <c r="T11" i="4" s="1"/>
  <c r="I74" i="3"/>
  <c r="J74" i="3" s="1"/>
  <c r="K74" i="3" s="1"/>
  <c r="I12" i="3"/>
  <c r="J12" i="3" s="1"/>
  <c r="K12" i="3" s="1"/>
  <c r="R11" i="3"/>
  <c r="S11" i="3" s="1"/>
  <c r="R9" i="2"/>
  <c r="S9" i="2" s="1"/>
  <c r="J11" i="2"/>
  <c r="K11" i="2" s="1"/>
  <c r="I12" i="2" s="1"/>
  <c r="L15" i="2"/>
  <c r="O15" i="2" s="1"/>
  <c r="P14" i="2"/>
  <c r="I12" i="8" l="1"/>
  <c r="J12" i="8" s="1"/>
  <c r="K12" i="8" s="1"/>
  <c r="X11" i="8"/>
  <c r="Y11" i="8" s="1"/>
  <c r="F159" i="6"/>
  <c r="L147" i="6"/>
  <c r="F164" i="6"/>
  <c r="L152" i="6"/>
  <c r="F187" i="6"/>
  <c r="L175" i="6"/>
  <c r="F177" i="6"/>
  <c r="L165" i="6"/>
  <c r="F196" i="6"/>
  <c r="L184" i="6"/>
  <c r="F170" i="6"/>
  <c r="L158" i="6"/>
  <c r="F166" i="6"/>
  <c r="L154" i="6"/>
  <c r="F185" i="6"/>
  <c r="L173" i="6"/>
  <c r="F169" i="6"/>
  <c r="L157" i="6"/>
  <c r="F162" i="6"/>
  <c r="L150" i="6"/>
  <c r="F204" i="6"/>
  <c r="L192" i="6"/>
  <c r="F167" i="6"/>
  <c r="L155" i="6"/>
  <c r="R68" i="7"/>
  <c r="U67" i="7"/>
  <c r="I12" i="7"/>
  <c r="J12" i="7" s="1"/>
  <c r="K12" i="7" s="1"/>
  <c r="T11" i="7"/>
  <c r="U11" i="7" s="1"/>
  <c r="I13" i="6"/>
  <c r="J13" i="6" s="1"/>
  <c r="K13" i="6"/>
  <c r="T12" i="6"/>
  <c r="U12" i="6" s="1"/>
  <c r="W11" i="5"/>
  <c r="X11" i="5" s="1"/>
  <c r="I12" i="5"/>
  <c r="J12" i="5" s="1"/>
  <c r="K12" i="5" s="1"/>
  <c r="S12" i="4"/>
  <c r="T12" i="4" s="1"/>
  <c r="I13" i="4"/>
  <c r="J13" i="4" s="1"/>
  <c r="K13" i="4" s="1"/>
  <c r="I75" i="3"/>
  <c r="J75" i="3" s="1"/>
  <c r="K75" i="3" s="1"/>
  <c r="I13" i="3"/>
  <c r="J13" i="3" s="1"/>
  <c r="R12" i="3"/>
  <c r="S12" i="3" s="1"/>
  <c r="K13" i="3"/>
  <c r="R10" i="2"/>
  <c r="S10" i="2" s="1"/>
  <c r="J12" i="2"/>
  <c r="K12" i="2" s="1"/>
  <c r="I13" i="2" s="1"/>
  <c r="R11" i="2"/>
  <c r="S11" i="2" s="1"/>
  <c r="L16" i="2"/>
  <c r="O16" i="2" s="1"/>
  <c r="P15" i="2"/>
  <c r="X12" i="8" l="1"/>
  <c r="Y12" i="8" s="1"/>
  <c r="I13" i="8"/>
  <c r="J13" i="8" s="1"/>
  <c r="K13" i="8" s="1"/>
  <c r="F171" i="6"/>
  <c r="L159" i="6"/>
  <c r="F182" i="6"/>
  <c r="L170" i="6"/>
  <c r="F216" i="6"/>
  <c r="L204" i="6"/>
  <c r="F197" i="6"/>
  <c r="L185" i="6"/>
  <c r="F208" i="6"/>
  <c r="L196" i="6"/>
  <c r="F181" i="6"/>
  <c r="L169" i="6"/>
  <c r="F174" i="6"/>
  <c r="L162" i="6"/>
  <c r="F178" i="6"/>
  <c r="L166" i="6"/>
  <c r="F189" i="6"/>
  <c r="L177" i="6"/>
  <c r="F199" i="6"/>
  <c r="L187" i="6"/>
  <c r="F179" i="6"/>
  <c r="L167" i="6"/>
  <c r="F176" i="6"/>
  <c r="L164" i="6"/>
  <c r="R69" i="7"/>
  <c r="U68" i="7"/>
  <c r="T12" i="7"/>
  <c r="U12" i="7" s="1"/>
  <c r="I13" i="7"/>
  <c r="J13" i="7" s="1"/>
  <c r="K13" i="7" s="1"/>
  <c r="I14" i="6"/>
  <c r="J14" i="6" s="1"/>
  <c r="K14" i="6" s="1"/>
  <c r="T13" i="6"/>
  <c r="U13" i="6" s="1"/>
  <c r="I13" i="5"/>
  <c r="J13" i="5" s="1"/>
  <c r="K13" i="5" s="1"/>
  <c r="W12" i="5"/>
  <c r="X12" i="5" s="1"/>
  <c r="I14" i="4"/>
  <c r="J14" i="4" s="1"/>
  <c r="K14" i="4" s="1"/>
  <c r="S13" i="4"/>
  <c r="T13" i="4" s="1"/>
  <c r="I76" i="3"/>
  <c r="J76" i="3" s="1"/>
  <c r="K76" i="3" s="1"/>
  <c r="I14" i="3"/>
  <c r="J14" i="3" s="1"/>
  <c r="K14" i="3" s="1"/>
  <c r="R13" i="3"/>
  <c r="S13" i="3" s="1"/>
  <c r="J13" i="2"/>
  <c r="K13" i="2" s="1"/>
  <c r="I14" i="2" s="1"/>
  <c r="R12" i="2"/>
  <c r="S12" i="2" s="1"/>
  <c r="L17" i="2"/>
  <c r="O17" i="2" s="1"/>
  <c r="P16" i="2"/>
  <c r="I14" i="8" l="1"/>
  <c r="J14" i="8" s="1"/>
  <c r="K14" i="8" s="1"/>
  <c r="X13" i="8"/>
  <c r="Y13" i="8" s="1"/>
  <c r="L171" i="6"/>
  <c r="F183" i="6"/>
  <c r="F211" i="6"/>
  <c r="L199" i="6"/>
  <c r="F193" i="6"/>
  <c r="L181" i="6"/>
  <c r="F220" i="6"/>
  <c r="L208" i="6"/>
  <c r="F209" i="6"/>
  <c r="L197" i="6"/>
  <c r="F228" i="6"/>
  <c r="L216" i="6"/>
  <c r="F194" i="6"/>
  <c r="L182" i="6"/>
  <c r="F191" i="6"/>
  <c r="L179" i="6"/>
  <c r="F201" i="6"/>
  <c r="L189" i="6"/>
  <c r="F190" i="6"/>
  <c r="L178" i="6"/>
  <c r="F186" i="6"/>
  <c r="L174" i="6"/>
  <c r="F188" i="6"/>
  <c r="L176" i="6"/>
  <c r="R70" i="7"/>
  <c r="U69" i="7"/>
  <c r="I14" i="7"/>
  <c r="J14" i="7" s="1"/>
  <c r="K14" i="7" s="1"/>
  <c r="T13" i="7"/>
  <c r="U13" i="7" s="1"/>
  <c r="T14" i="6"/>
  <c r="U14" i="6" s="1"/>
  <c r="I15" i="6"/>
  <c r="J15" i="6" s="1"/>
  <c r="K15" i="6" s="1"/>
  <c r="I14" i="5"/>
  <c r="J14" i="5" s="1"/>
  <c r="K14" i="5" s="1"/>
  <c r="W13" i="5"/>
  <c r="X13" i="5" s="1"/>
  <c r="S14" i="4"/>
  <c r="T14" i="4" s="1"/>
  <c r="I15" i="4"/>
  <c r="J15" i="4" s="1"/>
  <c r="K15" i="4" s="1"/>
  <c r="I77" i="3"/>
  <c r="J77" i="3" s="1"/>
  <c r="K77" i="3"/>
  <c r="R14" i="3"/>
  <c r="S14" i="3" s="1"/>
  <c r="I15" i="3"/>
  <c r="J15" i="3" s="1"/>
  <c r="K15" i="3" s="1"/>
  <c r="J14" i="2"/>
  <c r="K14" i="2" s="1"/>
  <c r="I15" i="2" s="1"/>
  <c r="R13" i="2"/>
  <c r="S13" i="2" s="1"/>
  <c r="P17" i="2"/>
  <c r="L18" i="2"/>
  <c r="O18" i="2" s="1"/>
  <c r="I15" i="8" l="1"/>
  <c r="J15" i="8" s="1"/>
  <c r="K15" i="8" s="1"/>
  <c r="X14" i="8"/>
  <c r="Y14" i="8" s="1"/>
  <c r="F195" i="6"/>
  <c r="L183" i="6"/>
  <c r="F200" i="6"/>
  <c r="L188" i="6"/>
  <c r="F213" i="6"/>
  <c r="L201" i="6"/>
  <c r="F206" i="6"/>
  <c r="L194" i="6"/>
  <c r="F198" i="6"/>
  <c r="L186" i="6"/>
  <c r="F202" i="6"/>
  <c r="L190" i="6"/>
  <c r="F203" i="6"/>
  <c r="L191" i="6"/>
  <c r="F240" i="6"/>
  <c r="L240" i="6" s="1"/>
  <c r="L228" i="6"/>
  <c r="F221" i="6"/>
  <c r="L209" i="6"/>
  <c r="F232" i="6"/>
  <c r="L232" i="6" s="1"/>
  <c r="L220" i="6"/>
  <c r="F205" i="6"/>
  <c r="L193" i="6"/>
  <c r="F223" i="6"/>
  <c r="L211" i="6"/>
  <c r="R71" i="7"/>
  <c r="U70" i="7"/>
  <c r="I15" i="7"/>
  <c r="J15" i="7" s="1"/>
  <c r="T14" i="7"/>
  <c r="U14" i="7" s="1"/>
  <c r="K15" i="7"/>
  <c r="T15" i="6"/>
  <c r="U15" i="6" s="1"/>
  <c r="I16" i="6"/>
  <c r="J16" i="6" s="1"/>
  <c r="K16" i="6" s="1"/>
  <c r="I15" i="5"/>
  <c r="J15" i="5" s="1"/>
  <c r="K15" i="5" s="1"/>
  <c r="W14" i="5"/>
  <c r="X14" i="5" s="1"/>
  <c r="I16" i="4"/>
  <c r="J16" i="4" s="1"/>
  <c r="K16" i="4" s="1"/>
  <c r="S15" i="4"/>
  <c r="T15" i="4" s="1"/>
  <c r="I78" i="3"/>
  <c r="J78" i="3" s="1"/>
  <c r="K78" i="3" s="1"/>
  <c r="I16" i="3"/>
  <c r="J16" i="3" s="1"/>
  <c r="R15" i="3"/>
  <c r="S15" i="3" s="1"/>
  <c r="K16" i="3"/>
  <c r="J15" i="2"/>
  <c r="K15" i="2" s="1"/>
  <c r="I16" i="2" s="1"/>
  <c r="R14" i="2"/>
  <c r="S14" i="2" s="1"/>
  <c r="P18" i="2"/>
  <c r="L19" i="2"/>
  <c r="O19" i="2" s="1"/>
  <c r="X15" i="8" l="1"/>
  <c r="Y15" i="8" s="1"/>
  <c r="I16" i="8"/>
  <c r="J16" i="8" s="1"/>
  <c r="K16" i="8" s="1"/>
  <c r="F207" i="6"/>
  <c r="L195" i="6"/>
  <c r="F235" i="6"/>
  <c r="L235" i="6" s="1"/>
  <c r="L223" i="6"/>
  <c r="F217" i="6"/>
  <c r="L205" i="6"/>
  <c r="F214" i="6"/>
  <c r="L202" i="6"/>
  <c r="F225" i="6"/>
  <c r="L213" i="6"/>
  <c r="F233" i="6"/>
  <c r="L233" i="6" s="1"/>
  <c r="L221" i="6"/>
  <c r="F210" i="6"/>
  <c r="L198" i="6"/>
  <c r="F215" i="6"/>
  <c r="L203" i="6"/>
  <c r="F218" i="6"/>
  <c r="L206" i="6"/>
  <c r="F212" i="6"/>
  <c r="L200" i="6"/>
  <c r="R72" i="7"/>
  <c r="U71" i="7"/>
  <c r="T15" i="7"/>
  <c r="U15" i="7" s="1"/>
  <c r="I16" i="7"/>
  <c r="J16" i="7" s="1"/>
  <c r="K16" i="7" s="1"/>
  <c r="T16" i="6"/>
  <c r="U16" i="6" s="1"/>
  <c r="I17" i="6"/>
  <c r="J17" i="6" s="1"/>
  <c r="K17" i="6" s="1"/>
  <c r="I16" i="5"/>
  <c r="J16" i="5" s="1"/>
  <c r="K16" i="5" s="1"/>
  <c r="W15" i="5"/>
  <c r="X15" i="5" s="1"/>
  <c r="I17" i="4"/>
  <c r="J17" i="4" s="1"/>
  <c r="S16" i="4"/>
  <c r="T16" i="4" s="1"/>
  <c r="K17" i="4"/>
  <c r="I79" i="3"/>
  <c r="J79" i="3" s="1"/>
  <c r="K79" i="3" s="1"/>
  <c r="R16" i="3"/>
  <c r="S16" i="3" s="1"/>
  <c r="I17" i="3"/>
  <c r="J17" i="3" s="1"/>
  <c r="K17" i="3" s="1"/>
  <c r="J16" i="2"/>
  <c r="K16" i="2" s="1"/>
  <c r="I17" i="2" s="1"/>
  <c r="L20" i="2"/>
  <c r="O20" i="2" s="1"/>
  <c r="P19" i="2"/>
  <c r="I17" i="8" l="1"/>
  <c r="J17" i="8" s="1"/>
  <c r="K17" i="8" s="1"/>
  <c r="X16" i="8"/>
  <c r="Y16" i="8" s="1"/>
  <c r="F219" i="6"/>
  <c r="L207" i="6"/>
  <c r="F237" i="6"/>
  <c r="L237" i="6" s="1"/>
  <c r="L225" i="6"/>
  <c r="F222" i="6"/>
  <c r="L210" i="6"/>
  <c r="F229" i="6"/>
  <c r="L217" i="6"/>
  <c r="F230" i="6"/>
  <c r="L218" i="6"/>
  <c r="F227" i="6"/>
  <c r="L215" i="6"/>
  <c r="F224" i="6"/>
  <c r="L212" i="6"/>
  <c r="F226" i="6"/>
  <c r="L214" i="6"/>
  <c r="R73" i="7"/>
  <c r="U72" i="7"/>
  <c r="T16" i="7"/>
  <c r="U16" i="7" s="1"/>
  <c r="I17" i="7"/>
  <c r="J17" i="7" s="1"/>
  <c r="K17" i="7" s="1"/>
  <c r="I18" i="6"/>
  <c r="J18" i="6" s="1"/>
  <c r="K18" i="6" s="1"/>
  <c r="T17" i="6"/>
  <c r="U17" i="6" s="1"/>
  <c r="W16" i="5"/>
  <c r="X16" i="5" s="1"/>
  <c r="I17" i="5"/>
  <c r="J17" i="5" s="1"/>
  <c r="K17" i="5" s="1"/>
  <c r="S17" i="4"/>
  <c r="T17" i="4" s="1"/>
  <c r="I18" i="4"/>
  <c r="J18" i="4" s="1"/>
  <c r="K18" i="4" s="1"/>
  <c r="I80" i="3"/>
  <c r="J80" i="3" s="1"/>
  <c r="K80" i="3" s="1"/>
  <c r="R17" i="3"/>
  <c r="S17" i="3" s="1"/>
  <c r="I18" i="3"/>
  <c r="J18" i="3" s="1"/>
  <c r="K18" i="3" s="1"/>
  <c r="R15" i="2"/>
  <c r="S15" i="2" s="1"/>
  <c r="J17" i="2"/>
  <c r="K17" i="2" s="1"/>
  <c r="I18" i="2" s="1"/>
  <c r="R16" i="2"/>
  <c r="S16" i="2" s="1"/>
  <c r="L21" i="2"/>
  <c r="O21" i="2" s="1"/>
  <c r="P20" i="2"/>
  <c r="I18" i="8" l="1"/>
  <c r="J18" i="8" s="1"/>
  <c r="K18" i="8" s="1"/>
  <c r="X17" i="8"/>
  <c r="Y17" i="8" s="1"/>
  <c r="F231" i="6"/>
  <c r="L231" i="6" s="1"/>
  <c r="L219" i="6"/>
  <c r="F236" i="6"/>
  <c r="L236" i="6" s="1"/>
  <c r="L224" i="6"/>
  <c r="F234" i="6"/>
  <c r="L234" i="6" s="1"/>
  <c r="L222" i="6"/>
  <c r="F242" i="6"/>
  <c r="L242" i="6" s="1"/>
  <c r="C41" i="6" s="1"/>
  <c r="AB6" i="6" s="1"/>
  <c r="L230" i="6"/>
  <c r="F241" i="6"/>
  <c r="L241" i="6" s="1"/>
  <c r="L229" i="6"/>
  <c r="F238" i="6"/>
  <c r="L238" i="6" s="1"/>
  <c r="L226" i="6"/>
  <c r="F239" i="6"/>
  <c r="L239" i="6" s="1"/>
  <c r="L227" i="6"/>
  <c r="R74" i="7"/>
  <c r="U73" i="7"/>
  <c r="I18" i="7"/>
  <c r="J18" i="7" s="1"/>
  <c r="K18" i="7"/>
  <c r="T17" i="7"/>
  <c r="U17" i="7" s="1"/>
  <c r="I19" i="6"/>
  <c r="J19" i="6" s="1"/>
  <c r="K19" i="6" s="1"/>
  <c r="T18" i="6"/>
  <c r="U18" i="6" s="1"/>
  <c r="W17" i="5"/>
  <c r="X17" i="5" s="1"/>
  <c r="I18" i="5"/>
  <c r="J18" i="5" s="1"/>
  <c r="K18" i="5" s="1"/>
  <c r="I19" i="4"/>
  <c r="J19" i="4" s="1"/>
  <c r="K19" i="4" s="1"/>
  <c r="S18" i="4"/>
  <c r="T18" i="4" s="1"/>
  <c r="I81" i="3"/>
  <c r="J81" i="3" s="1"/>
  <c r="K81" i="3"/>
  <c r="I19" i="3"/>
  <c r="J19" i="3" s="1"/>
  <c r="K19" i="3"/>
  <c r="R18" i="3"/>
  <c r="S18" i="3" s="1"/>
  <c r="J18" i="2"/>
  <c r="K18" i="2" s="1"/>
  <c r="I19" i="2" s="1"/>
  <c r="P21" i="2"/>
  <c r="L22" i="2"/>
  <c r="O22" i="2" s="1"/>
  <c r="X18" i="8" l="1"/>
  <c r="Y18" i="8" s="1"/>
  <c r="I19" i="8"/>
  <c r="J19" i="8" s="1"/>
  <c r="K19" i="8" s="1"/>
  <c r="U74" i="7"/>
  <c r="R75" i="7"/>
  <c r="I19" i="7"/>
  <c r="J19" i="7" s="1"/>
  <c r="T18" i="7"/>
  <c r="U18" i="7" s="1"/>
  <c r="K19" i="7"/>
  <c r="I20" i="6"/>
  <c r="J20" i="6" s="1"/>
  <c r="K20" i="6"/>
  <c r="T19" i="6"/>
  <c r="U19" i="6" s="1"/>
  <c r="I19" i="5"/>
  <c r="J19" i="5" s="1"/>
  <c r="K19" i="5" s="1"/>
  <c r="W18" i="5"/>
  <c r="X18" i="5" s="1"/>
  <c r="S19" i="4"/>
  <c r="T19" i="4" s="1"/>
  <c r="I20" i="4"/>
  <c r="J20" i="4" s="1"/>
  <c r="K20" i="4" s="1"/>
  <c r="I82" i="3"/>
  <c r="J82" i="3" s="1"/>
  <c r="K82" i="3"/>
  <c r="R19" i="3"/>
  <c r="S19" i="3" s="1"/>
  <c r="I20" i="3"/>
  <c r="J20" i="3" s="1"/>
  <c r="K20" i="3" s="1"/>
  <c r="J19" i="2"/>
  <c r="K19" i="2" s="1"/>
  <c r="I20" i="2" s="1"/>
  <c r="R17" i="2"/>
  <c r="S17" i="2" s="1"/>
  <c r="R18" i="2"/>
  <c r="S18" i="2" s="1"/>
  <c r="L23" i="2"/>
  <c r="O23" i="2" s="1"/>
  <c r="P22" i="2"/>
  <c r="I20" i="8" l="1"/>
  <c r="J20" i="8" s="1"/>
  <c r="K20" i="8" s="1"/>
  <c r="X19" i="8"/>
  <c r="Y19" i="8" s="1"/>
  <c r="R76" i="7"/>
  <c r="U75" i="7"/>
  <c r="T19" i="7"/>
  <c r="U19" i="7" s="1"/>
  <c r="I20" i="7"/>
  <c r="J20" i="7" s="1"/>
  <c r="K20" i="7" s="1"/>
  <c r="I21" i="6"/>
  <c r="J21" i="6" s="1"/>
  <c r="K21" i="6" s="1"/>
  <c r="T20" i="6"/>
  <c r="U20" i="6" s="1"/>
  <c r="I20" i="5"/>
  <c r="J20" i="5" s="1"/>
  <c r="K20" i="5" s="1"/>
  <c r="W19" i="5"/>
  <c r="X19" i="5" s="1"/>
  <c r="I21" i="4"/>
  <c r="J21" i="4" s="1"/>
  <c r="K21" i="4" s="1"/>
  <c r="S20" i="4"/>
  <c r="T20" i="4" s="1"/>
  <c r="I83" i="3"/>
  <c r="J83" i="3" s="1"/>
  <c r="K83" i="3"/>
  <c r="I21" i="3"/>
  <c r="J21" i="3" s="1"/>
  <c r="K21" i="3" s="1"/>
  <c r="R20" i="3"/>
  <c r="S20" i="3" s="1"/>
  <c r="J20" i="2"/>
  <c r="K20" i="2" s="1"/>
  <c r="I21" i="2" s="1"/>
  <c r="R19" i="2"/>
  <c r="S19" i="2" s="1"/>
  <c r="P23" i="2"/>
  <c r="I21" i="8" l="1"/>
  <c r="J21" i="8" s="1"/>
  <c r="K21" i="8" s="1"/>
  <c r="X20" i="8"/>
  <c r="Y20" i="8" s="1"/>
  <c r="R77" i="7"/>
  <c r="U76" i="7"/>
  <c r="T20" i="7"/>
  <c r="U20" i="7" s="1"/>
  <c r="I21" i="7"/>
  <c r="J21" i="7" s="1"/>
  <c r="K21" i="7" s="1"/>
  <c r="I22" i="6"/>
  <c r="J22" i="6" s="1"/>
  <c r="K22" i="6" s="1"/>
  <c r="T21" i="6"/>
  <c r="U21" i="6" s="1"/>
  <c r="I21" i="5"/>
  <c r="J21" i="5" s="1"/>
  <c r="K21" i="5" s="1"/>
  <c r="W20" i="5"/>
  <c r="X20" i="5" s="1"/>
  <c r="S21" i="4"/>
  <c r="T21" i="4" s="1"/>
  <c r="I22" i="4"/>
  <c r="J22" i="4" s="1"/>
  <c r="K22" i="4" s="1"/>
  <c r="I84" i="3"/>
  <c r="J84" i="3" s="1"/>
  <c r="K84" i="3" s="1"/>
  <c r="R21" i="3"/>
  <c r="S21" i="3" s="1"/>
  <c r="I22" i="3"/>
  <c r="J22" i="3" s="1"/>
  <c r="K22" i="3"/>
  <c r="J21" i="2"/>
  <c r="K21" i="2" s="1"/>
  <c r="I22" i="2" s="1"/>
  <c r="R20" i="2"/>
  <c r="S20" i="2" s="1"/>
  <c r="L24" i="2"/>
  <c r="I22" i="8" l="1"/>
  <c r="J22" i="8" s="1"/>
  <c r="K22" i="8" s="1"/>
  <c r="X21" i="8"/>
  <c r="Y21" i="8" s="1"/>
  <c r="R78" i="7"/>
  <c r="U77" i="7"/>
  <c r="T21" i="7"/>
  <c r="U21" i="7" s="1"/>
  <c r="I22" i="7"/>
  <c r="J22" i="7" s="1"/>
  <c r="K22" i="7" s="1"/>
  <c r="I23" i="6"/>
  <c r="J23" i="6" s="1"/>
  <c r="K23" i="6" s="1"/>
  <c r="T22" i="6"/>
  <c r="U22" i="6" s="1"/>
  <c r="W21" i="5"/>
  <c r="X21" i="5" s="1"/>
  <c r="I22" i="5"/>
  <c r="J22" i="5" s="1"/>
  <c r="K22" i="5" s="1"/>
  <c r="I23" i="4"/>
  <c r="J23" i="4" s="1"/>
  <c r="K23" i="4" s="1"/>
  <c r="S22" i="4"/>
  <c r="T22" i="4" s="1"/>
  <c r="I85" i="3"/>
  <c r="J85" i="3" s="1"/>
  <c r="K85" i="3"/>
  <c r="I23" i="3"/>
  <c r="J23" i="3" s="1"/>
  <c r="K23" i="3" s="1"/>
  <c r="R22" i="3"/>
  <c r="S22" i="3" s="1"/>
  <c r="J22" i="2"/>
  <c r="K22" i="2" s="1"/>
  <c r="I23" i="2" s="1"/>
  <c r="O24" i="2"/>
  <c r="P24" i="2" s="1"/>
  <c r="R21" i="2"/>
  <c r="S21" i="2" s="1"/>
  <c r="L25" i="2"/>
  <c r="I23" i="8" l="1"/>
  <c r="J23" i="8" s="1"/>
  <c r="K23" i="8" s="1"/>
  <c r="X22" i="8"/>
  <c r="Y22" i="8" s="1"/>
  <c r="R79" i="7"/>
  <c r="U78" i="7"/>
  <c r="I23" i="7"/>
  <c r="J23" i="7" s="1"/>
  <c r="K23" i="7" s="1"/>
  <c r="T22" i="7"/>
  <c r="U22" i="7" s="1"/>
  <c r="I24" i="6"/>
  <c r="J24" i="6" s="1"/>
  <c r="K24" i="6" s="1"/>
  <c r="T23" i="6"/>
  <c r="U23" i="6" s="1"/>
  <c r="I23" i="5"/>
  <c r="J23" i="5" s="1"/>
  <c r="K23" i="5" s="1"/>
  <c r="W22" i="5"/>
  <c r="X22" i="5" s="1"/>
  <c r="I24" i="4"/>
  <c r="J24" i="4" s="1"/>
  <c r="K24" i="4" s="1"/>
  <c r="S23" i="4"/>
  <c r="T23" i="4" s="1"/>
  <c r="I86" i="3"/>
  <c r="J86" i="3" s="1"/>
  <c r="K86" i="3"/>
  <c r="R23" i="3"/>
  <c r="S23" i="3" s="1"/>
  <c r="I24" i="3"/>
  <c r="J24" i="3" s="1"/>
  <c r="K24" i="3"/>
  <c r="J23" i="2"/>
  <c r="K23" i="2" s="1"/>
  <c r="I24" i="2" s="1"/>
  <c r="O25" i="2"/>
  <c r="P25" i="2" s="1"/>
  <c r="L26" i="2"/>
  <c r="I24" i="8" l="1"/>
  <c r="J24" i="8" s="1"/>
  <c r="K24" i="8" s="1"/>
  <c r="X23" i="8"/>
  <c r="Y23" i="8" s="1"/>
  <c r="R80" i="7"/>
  <c r="U79" i="7"/>
  <c r="I24" i="7"/>
  <c r="J24" i="7" s="1"/>
  <c r="K24" i="7" s="1"/>
  <c r="T23" i="7"/>
  <c r="U23" i="7" s="1"/>
  <c r="I25" i="6"/>
  <c r="J25" i="6" s="1"/>
  <c r="K25" i="6" s="1"/>
  <c r="T24" i="6"/>
  <c r="U24" i="6" s="1"/>
  <c r="I24" i="5"/>
  <c r="J24" i="5" s="1"/>
  <c r="K24" i="5" s="1"/>
  <c r="W23" i="5"/>
  <c r="X23" i="5" s="1"/>
  <c r="I25" i="4"/>
  <c r="J25" i="4" s="1"/>
  <c r="K25" i="4" s="1"/>
  <c r="S24" i="4"/>
  <c r="T24" i="4" s="1"/>
  <c r="I87" i="3"/>
  <c r="J87" i="3" s="1"/>
  <c r="K87" i="3"/>
  <c r="I25" i="3"/>
  <c r="J25" i="3" s="1"/>
  <c r="K25" i="3"/>
  <c r="R24" i="3"/>
  <c r="S24" i="3" s="1"/>
  <c r="R22" i="2"/>
  <c r="S22" i="2" s="1"/>
  <c r="J24" i="2"/>
  <c r="K24" i="2" s="1"/>
  <c r="I25" i="2" s="1"/>
  <c r="R23" i="2"/>
  <c r="S23" i="2" s="1"/>
  <c r="O26" i="2"/>
  <c r="P26" i="2" s="1"/>
  <c r="L27" i="2"/>
  <c r="I25" i="8" l="1"/>
  <c r="J25" i="8" s="1"/>
  <c r="K25" i="8" s="1"/>
  <c r="X24" i="8"/>
  <c r="Y24" i="8" s="1"/>
  <c r="R81" i="7"/>
  <c r="U80" i="7"/>
  <c r="T24" i="7"/>
  <c r="U24" i="7" s="1"/>
  <c r="I25" i="7"/>
  <c r="J25" i="7" s="1"/>
  <c r="K25" i="7" s="1"/>
  <c r="I26" i="6"/>
  <c r="J26" i="6" s="1"/>
  <c r="K26" i="6" s="1"/>
  <c r="T25" i="6"/>
  <c r="U25" i="6" s="1"/>
  <c r="I25" i="5"/>
  <c r="J25" i="5" s="1"/>
  <c r="K25" i="5" s="1"/>
  <c r="W24" i="5"/>
  <c r="X24" i="5" s="1"/>
  <c r="I26" i="4"/>
  <c r="J26" i="4" s="1"/>
  <c r="S25" i="4"/>
  <c r="T25" i="4" s="1"/>
  <c r="K26" i="4"/>
  <c r="I88" i="3"/>
  <c r="J88" i="3" s="1"/>
  <c r="K88" i="3"/>
  <c r="R25" i="3"/>
  <c r="S25" i="3" s="1"/>
  <c r="I26" i="3"/>
  <c r="J26" i="3" s="1"/>
  <c r="K26" i="3" s="1"/>
  <c r="J25" i="2"/>
  <c r="K25" i="2" s="1"/>
  <c r="I26" i="2" s="1"/>
  <c r="O27" i="2"/>
  <c r="R24" i="2"/>
  <c r="S24" i="2" s="1"/>
  <c r="L28" i="2"/>
  <c r="I26" i="8" l="1"/>
  <c r="J26" i="8" s="1"/>
  <c r="X25" i="8"/>
  <c r="Y25" i="8" s="1"/>
  <c r="K26" i="8"/>
  <c r="R82" i="7"/>
  <c r="U81" i="7"/>
  <c r="T25" i="7"/>
  <c r="U25" i="7" s="1"/>
  <c r="I26" i="7"/>
  <c r="J26" i="7" s="1"/>
  <c r="K26" i="7"/>
  <c r="I27" i="6"/>
  <c r="J27" i="6" s="1"/>
  <c r="K27" i="6" s="1"/>
  <c r="T26" i="6"/>
  <c r="U26" i="6" s="1"/>
  <c r="I26" i="5"/>
  <c r="J26" i="5" s="1"/>
  <c r="K26" i="5" s="1"/>
  <c r="W25" i="5"/>
  <c r="X25" i="5" s="1"/>
  <c r="I27" i="4"/>
  <c r="J27" i="4" s="1"/>
  <c r="S26" i="4"/>
  <c r="T26" i="4" s="1"/>
  <c r="K27" i="4"/>
  <c r="P27" i="2"/>
  <c r="I89" i="3"/>
  <c r="J89" i="3" s="1"/>
  <c r="K89" i="3" s="1"/>
  <c r="R26" i="3"/>
  <c r="S26" i="3" s="1"/>
  <c r="I27" i="3"/>
  <c r="J27" i="3" s="1"/>
  <c r="K27" i="3" s="1"/>
  <c r="J26" i="2"/>
  <c r="K26" i="2" s="1"/>
  <c r="I27" i="2" s="1"/>
  <c r="O28" i="2"/>
  <c r="P28" i="2" s="1"/>
  <c r="L29" i="2"/>
  <c r="I27" i="8" l="1"/>
  <c r="J27" i="8" s="1"/>
  <c r="K27" i="8" s="1"/>
  <c r="X26" i="8"/>
  <c r="Y26" i="8" s="1"/>
  <c r="R83" i="7"/>
  <c r="U82" i="7"/>
  <c r="I27" i="7"/>
  <c r="J27" i="7" s="1"/>
  <c r="K27" i="7" s="1"/>
  <c r="T26" i="7"/>
  <c r="U26" i="7" s="1"/>
  <c r="T27" i="6"/>
  <c r="U27" i="6" s="1"/>
  <c r="I28" i="6"/>
  <c r="J28" i="6" s="1"/>
  <c r="K28" i="6" s="1"/>
  <c r="W26" i="5"/>
  <c r="X26" i="5" s="1"/>
  <c r="I27" i="5"/>
  <c r="J27" i="5" s="1"/>
  <c r="K27" i="5" s="1"/>
  <c r="I28" i="4"/>
  <c r="J28" i="4" s="1"/>
  <c r="K28" i="4" s="1"/>
  <c r="S27" i="4"/>
  <c r="T27" i="4" s="1"/>
  <c r="I90" i="3"/>
  <c r="J90" i="3" s="1"/>
  <c r="K90" i="3"/>
  <c r="I28" i="3"/>
  <c r="J28" i="3" s="1"/>
  <c r="K28" i="3"/>
  <c r="R27" i="3"/>
  <c r="S27" i="3" s="1"/>
  <c r="R25" i="2"/>
  <c r="S25" i="2" s="1"/>
  <c r="J27" i="2"/>
  <c r="K27" i="2" s="1"/>
  <c r="I28" i="2" s="1"/>
  <c r="O29" i="2"/>
  <c r="L30" i="2"/>
  <c r="X27" i="8" l="1"/>
  <c r="Y27" i="8" s="1"/>
  <c r="I28" i="8"/>
  <c r="J28" i="8" s="1"/>
  <c r="K28" i="8" s="1"/>
  <c r="R84" i="7"/>
  <c r="U83" i="7"/>
  <c r="T27" i="7"/>
  <c r="U27" i="7" s="1"/>
  <c r="I28" i="7"/>
  <c r="J28" i="7" s="1"/>
  <c r="K28" i="7"/>
  <c r="I29" i="6"/>
  <c r="J29" i="6" s="1"/>
  <c r="K29" i="6" s="1"/>
  <c r="T28" i="6"/>
  <c r="U28" i="6" s="1"/>
  <c r="I28" i="5"/>
  <c r="J28" i="5" s="1"/>
  <c r="K28" i="5" s="1"/>
  <c r="W27" i="5"/>
  <c r="X27" i="5" s="1"/>
  <c r="S28" i="4"/>
  <c r="T28" i="4" s="1"/>
  <c r="I29" i="4"/>
  <c r="J29" i="4" s="1"/>
  <c r="K29" i="4" s="1"/>
  <c r="P29" i="2"/>
  <c r="K91" i="3"/>
  <c r="I91" i="3"/>
  <c r="J91" i="3" s="1"/>
  <c r="I29" i="3"/>
  <c r="J29" i="3" s="1"/>
  <c r="K29" i="3" s="1"/>
  <c r="R28" i="3"/>
  <c r="S28" i="3" s="1"/>
  <c r="R26" i="2"/>
  <c r="S26" i="2" s="1"/>
  <c r="J28" i="2"/>
  <c r="K28" i="2" s="1"/>
  <c r="I29" i="2" s="1"/>
  <c r="O30" i="2"/>
  <c r="P30" i="2" s="1"/>
  <c r="R27" i="2"/>
  <c r="S27" i="2" s="1"/>
  <c r="L31" i="2"/>
  <c r="X28" i="8" l="1"/>
  <c r="Y28" i="8" s="1"/>
  <c r="I29" i="8"/>
  <c r="J29" i="8" s="1"/>
  <c r="K29" i="8" s="1"/>
  <c r="R85" i="7"/>
  <c r="U84" i="7"/>
  <c r="I29" i="7"/>
  <c r="J29" i="7" s="1"/>
  <c r="K29" i="7"/>
  <c r="T28" i="7"/>
  <c r="U28" i="7" s="1"/>
  <c r="I30" i="6"/>
  <c r="J30" i="6" s="1"/>
  <c r="K30" i="6" s="1"/>
  <c r="T29" i="6"/>
  <c r="U29" i="6" s="1"/>
  <c r="I29" i="5"/>
  <c r="J29" i="5" s="1"/>
  <c r="K29" i="5" s="1"/>
  <c r="W28" i="5"/>
  <c r="X28" i="5" s="1"/>
  <c r="I30" i="4"/>
  <c r="J30" i="4" s="1"/>
  <c r="K30" i="4" s="1"/>
  <c r="S29" i="4"/>
  <c r="T29" i="4" s="1"/>
  <c r="I92" i="3"/>
  <c r="J92" i="3" s="1"/>
  <c r="K92" i="3"/>
  <c r="I30" i="3"/>
  <c r="J30" i="3" s="1"/>
  <c r="K30" i="3" s="1"/>
  <c r="R29" i="3"/>
  <c r="S29" i="3" s="1"/>
  <c r="J29" i="2"/>
  <c r="K29" i="2" s="1"/>
  <c r="I30" i="2" s="1"/>
  <c r="O31" i="2"/>
  <c r="L32" i="2"/>
  <c r="I30" i="8" l="1"/>
  <c r="J30" i="8" s="1"/>
  <c r="K30" i="8" s="1"/>
  <c r="X29" i="8"/>
  <c r="Y29" i="8" s="1"/>
  <c r="R86" i="7"/>
  <c r="U85" i="7"/>
  <c r="I30" i="7"/>
  <c r="J30" i="7" s="1"/>
  <c r="T29" i="7"/>
  <c r="U29" i="7" s="1"/>
  <c r="K30" i="7"/>
  <c r="T30" i="6"/>
  <c r="U30" i="6" s="1"/>
  <c r="I31" i="6"/>
  <c r="J31" i="6" s="1"/>
  <c r="K31" i="6"/>
  <c r="I30" i="5"/>
  <c r="J30" i="5" s="1"/>
  <c r="K30" i="5" s="1"/>
  <c r="W29" i="5"/>
  <c r="X29" i="5" s="1"/>
  <c r="I31" i="4"/>
  <c r="J31" i="4" s="1"/>
  <c r="S30" i="4"/>
  <c r="T30" i="4" s="1"/>
  <c r="K31" i="4"/>
  <c r="P31" i="2"/>
  <c r="I93" i="3"/>
  <c r="J93" i="3" s="1"/>
  <c r="K93" i="3"/>
  <c r="I31" i="3"/>
  <c r="J31" i="3" s="1"/>
  <c r="K31" i="3" s="1"/>
  <c r="R30" i="3"/>
  <c r="S30" i="3" s="1"/>
  <c r="R28" i="2"/>
  <c r="S28" i="2" s="1"/>
  <c r="J30" i="2"/>
  <c r="K30" i="2" s="1"/>
  <c r="I31" i="2" s="1"/>
  <c r="O32" i="2"/>
  <c r="L33" i="2"/>
  <c r="I31" i="8" l="1"/>
  <c r="J31" i="8" s="1"/>
  <c r="K31" i="8" s="1"/>
  <c r="X30" i="8"/>
  <c r="Y30" i="8" s="1"/>
  <c r="R87" i="7"/>
  <c r="U86" i="7"/>
  <c r="T30" i="7"/>
  <c r="U30" i="7" s="1"/>
  <c r="I31" i="7"/>
  <c r="J31" i="7" s="1"/>
  <c r="K31" i="7" s="1"/>
  <c r="I32" i="6"/>
  <c r="J32" i="6" s="1"/>
  <c r="K32" i="6" s="1"/>
  <c r="T31" i="6"/>
  <c r="U31" i="6" s="1"/>
  <c r="I31" i="5"/>
  <c r="J31" i="5" s="1"/>
  <c r="K31" i="5" s="1"/>
  <c r="W30" i="5"/>
  <c r="X30" i="5" s="1"/>
  <c r="I32" i="4"/>
  <c r="J32" i="4" s="1"/>
  <c r="K32" i="4" s="1"/>
  <c r="S31" i="4"/>
  <c r="T31" i="4" s="1"/>
  <c r="P32" i="2"/>
  <c r="I94" i="3"/>
  <c r="J94" i="3" s="1"/>
  <c r="K94" i="3"/>
  <c r="I32" i="3"/>
  <c r="J32" i="3" s="1"/>
  <c r="K32" i="3" s="1"/>
  <c r="R31" i="3"/>
  <c r="S31" i="3" s="1"/>
  <c r="R29" i="2"/>
  <c r="S29" i="2" s="1"/>
  <c r="J31" i="2"/>
  <c r="K31" i="2" s="1"/>
  <c r="I32" i="2" s="1"/>
  <c r="R30" i="2"/>
  <c r="S30" i="2" s="1"/>
  <c r="O33" i="2"/>
  <c r="P33" i="2" s="1"/>
  <c r="L34" i="2"/>
  <c r="X31" i="8" l="1"/>
  <c r="Y31" i="8" s="1"/>
  <c r="I32" i="8"/>
  <c r="J32" i="8" s="1"/>
  <c r="K32" i="8" s="1"/>
  <c r="R88" i="7"/>
  <c r="U87" i="7"/>
  <c r="I32" i="7"/>
  <c r="J32" i="7" s="1"/>
  <c r="K32" i="7" s="1"/>
  <c r="T31" i="7"/>
  <c r="U31" i="7" s="1"/>
  <c r="T32" i="6"/>
  <c r="U32" i="6" s="1"/>
  <c r="I33" i="6"/>
  <c r="J33" i="6" s="1"/>
  <c r="K33" i="6" s="1"/>
  <c r="W31" i="5"/>
  <c r="X31" i="5" s="1"/>
  <c r="I32" i="5"/>
  <c r="J32" i="5" s="1"/>
  <c r="K32" i="5" s="1"/>
  <c r="I33" i="4"/>
  <c r="J33" i="4" s="1"/>
  <c r="K33" i="4" s="1"/>
  <c r="S32" i="4"/>
  <c r="T32" i="4" s="1"/>
  <c r="I95" i="3"/>
  <c r="J95" i="3" s="1"/>
  <c r="K95" i="3"/>
  <c r="I33" i="3"/>
  <c r="J33" i="3" s="1"/>
  <c r="K33" i="3" s="1"/>
  <c r="R32" i="3"/>
  <c r="S32" i="3" s="1"/>
  <c r="J32" i="2"/>
  <c r="K32" i="2" s="1"/>
  <c r="I33" i="2" s="1"/>
  <c r="R31" i="2"/>
  <c r="S31" i="2" s="1"/>
  <c r="O34" i="2"/>
  <c r="P34" i="2" s="1"/>
  <c r="L35" i="2"/>
  <c r="I33" i="8" l="1"/>
  <c r="J33" i="8" s="1"/>
  <c r="K33" i="8" s="1"/>
  <c r="X32" i="8"/>
  <c r="Y32" i="8" s="1"/>
  <c r="R89" i="7"/>
  <c r="U88" i="7"/>
  <c r="T32" i="7"/>
  <c r="U32" i="7" s="1"/>
  <c r="I33" i="7"/>
  <c r="J33" i="7" s="1"/>
  <c r="K33" i="7" s="1"/>
  <c r="I34" i="6"/>
  <c r="J34" i="6" s="1"/>
  <c r="K34" i="6" s="1"/>
  <c r="T33" i="6"/>
  <c r="U33" i="6" s="1"/>
  <c r="I33" i="5"/>
  <c r="J33" i="5" s="1"/>
  <c r="K33" i="5" s="1"/>
  <c r="W32" i="5"/>
  <c r="X32" i="5" s="1"/>
  <c r="I34" i="4"/>
  <c r="J34" i="4" s="1"/>
  <c r="S33" i="4"/>
  <c r="T33" i="4" s="1"/>
  <c r="K34" i="4"/>
  <c r="I96" i="3"/>
  <c r="J96" i="3" s="1"/>
  <c r="K96" i="3"/>
  <c r="I34" i="3"/>
  <c r="J34" i="3" s="1"/>
  <c r="R33" i="3"/>
  <c r="S33" i="3" s="1"/>
  <c r="K34" i="3"/>
  <c r="R32" i="2"/>
  <c r="S32" i="2" s="1"/>
  <c r="O35" i="2"/>
  <c r="P35" i="2" s="1"/>
  <c r="L36" i="2"/>
  <c r="I34" i="8" l="1"/>
  <c r="J34" i="8" s="1"/>
  <c r="K34" i="8" s="1"/>
  <c r="X33" i="8"/>
  <c r="Y33" i="8" s="1"/>
  <c r="R90" i="7"/>
  <c r="U89" i="7"/>
  <c r="I34" i="7"/>
  <c r="J34" i="7" s="1"/>
  <c r="K34" i="7" s="1"/>
  <c r="T33" i="7"/>
  <c r="U33" i="7" s="1"/>
  <c r="T34" i="6"/>
  <c r="U34" i="6" s="1"/>
  <c r="I35" i="6"/>
  <c r="J35" i="6" s="1"/>
  <c r="K35" i="6" s="1"/>
  <c r="W33" i="5"/>
  <c r="X33" i="5" s="1"/>
  <c r="I34" i="5"/>
  <c r="J34" i="5" s="1"/>
  <c r="K34" i="5" s="1"/>
  <c r="I35" i="4"/>
  <c r="J35" i="4" s="1"/>
  <c r="K35" i="4" s="1"/>
  <c r="S34" i="4"/>
  <c r="T34" i="4" s="1"/>
  <c r="I97" i="3"/>
  <c r="J97" i="3" s="1"/>
  <c r="K97" i="3" s="1"/>
  <c r="I35" i="3"/>
  <c r="J35" i="3" s="1"/>
  <c r="K35" i="3" s="1"/>
  <c r="R34" i="3"/>
  <c r="S34" i="3" s="1"/>
  <c r="J33" i="2"/>
  <c r="K33" i="2" s="1"/>
  <c r="I34" i="2" s="1"/>
  <c r="O36" i="2"/>
  <c r="P36" i="2" s="1"/>
  <c r="L37" i="2"/>
  <c r="X34" i="8" l="1"/>
  <c r="Y34" i="8" s="1"/>
  <c r="I35" i="8"/>
  <c r="J35" i="8" s="1"/>
  <c r="K35" i="8" s="1"/>
  <c r="R91" i="7"/>
  <c r="U90" i="7"/>
  <c r="I35" i="7"/>
  <c r="J35" i="7" s="1"/>
  <c r="K35" i="7"/>
  <c r="T34" i="7"/>
  <c r="U34" i="7" s="1"/>
  <c r="T35" i="6"/>
  <c r="U35" i="6" s="1"/>
  <c r="I36" i="6"/>
  <c r="J36" i="6" s="1"/>
  <c r="K36" i="6"/>
  <c r="I35" i="5"/>
  <c r="J35" i="5" s="1"/>
  <c r="W34" i="5"/>
  <c r="X34" i="5" s="1"/>
  <c r="K35" i="5"/>
  <c r="S35" i="4"/>
  <c r="T35" i="4" s="1"/>
  <c r="I36" i="4"/>
  <c r="J36" i="4" s="1"/>
  <c r="K36" i="4" s="1"/>
  <c r="I98" i="3"/>
  <c r="J98" i="3" s="1"/>
  <c r="K98" i="3"/>
  <c r="R35" i="3"/>
  <c r="S35" i="3" s="1"/>
  <c r="I36" i="3"/>
  <c r="J36" i="3" s="1"/>
  <c r="K36" i="3" s="1"/>
  <c r="R33" i="2"/>
  <c r="S33" i="2" s="1"/>
  <c r="O37" i="2"/>
  <c r="P37" i="2" s="1"/>
  <c r="L38" i="2"/>
  <c r="I36" i="8" l="1"/>
  <c r="J36" i="8" s="1"/>
  <c r="K36" i="8" s="1"/>
  <c r="X35" i="8"/>
  <c r="Y35" i="8" s="1"/>
  <c r="R92" i="7"/>
  <c r="U91" i="7"/>
  <c r="T35" i="7"/>
  <c r="U35" i="7" s="1"/>
  <c r="I36" i="7"/>
  <c r="J36" i="7" s="1"/>
  <c r="K36" i="7" s="1"/>
  <c r="T36" i="6"/>
  <c r="U36" i="6" s="1"/>
  <c r="I37" i="6"/>
  <c r="J37" i="6" s="1"/>
  <c r="K37" i="6" s="1"/>
  <c r="I36" i="5"/>
  <c r="J36" i="5" s="1"/>
  <c r="K36" i="5" s="1"/>
  <c r="W35" i="5"/>
  <c r="X35" i="5" s="1"/>
  <c r="I37" i="4"/>
  <c r="J37" i="4" s="1"/>
  <c r="K37" i="4" s="1"/>
  <c r="S36" i="4"/>
  <c r="T36" i="4" s="1"/>
  <c r="I99" i="3"/>
  <c r="J99" i="3" s="1"/>
  <c r="K99" i="3"/>
  <c r="R36" i="3"/>
  <c r="S36" i="3" s="1"/>
  <c r="I37" i="3"/>
  <c r="J37" i="3" s="1"/>
  <c r="K37" i="3" s="1"/>
  <c r="J34" i="2"/>
  <c r="K34" i="2" s="1"/>
  <c r="I35" i="2" s="1"/>
  <c r="O38" i="2"/>
  <c r="P38" i="2" s="1"/>
  <c r="L39" i="2"/>
  <c r="I37" i="8" l="1"/>
  <c r="J37" i="8" s="1"/>
  <c r="K37" i="8" s="1"/>
  <c r="X36" i="8"/>
  <c r="Y36" i="8" s="1"/>
  <c r="R93" i="7"/>
  <c r="U92" i="7"/>
  <c r="I37" i="7"/>
  <c r="J37" i="7" s="1"/>
  <c r="K37" i="7" s="1"/>
  <c r="T36" i="7"/>
  <c r="U36" i="7" s="1"/>
  <c r="T37" i="6"/>
  <c r="U37" i="6" s="1"/>
  <c r="I38" i="6"/>
  <c r="J38" i="6" s="1"/>
  <c r="K38" i="6" s="1"/>
  <c r="W36" i="5"/>
  <c r="X36" i="5" s="1"/>
  <c r="I37" i="5"/>
  <c r="J37" i="5" s="1"/>
  <c r="K37" i="5" s="1"/>
  <c r="S37" i="4"/>
  <c r="T37" i="4" s="1"/>
  <c r="I38" i="4"/>
  <c r="J38" i="4" s="1"/>
  <c r="K38" i="4" s="1"/>
  <c r="I100" i="3"/>
  <c r="J100" i="3" s="1"/>
  <c r="K100" i="3"/>
  <c r="R37" i="3"/>
  <c r="S37" i="3" s="1"/>
  <c r="I38" i="3"/>
  <c r="J38" i="3" s="1"/>
  <c r="K38" i="3" s="1"/>
  <c r="R34" i="2"/>
  <c r="S34" i="2" s="1"/>
  <c r="O39" i="2"/>
  <c r="L40" i="2"/>
  <c r="I38" i="8" l="1"/>
  <c r="J38" i="8" s="1"/>
  <c r="K38" i="8" s="1"/>
  <c r="X37" i="8"/>
  <c r="Y37" i="8" s="1"/>
  <c r="R94" i="7"/>
  <c r="U93" i="7"/>
  <c r="I38" i="7"/>
  <c r="J38" i="7" s="1"/>
  <c r="K38" i="7" s="1"/>
  <c r="T37" i="7"/>
  <c r="U37" i="7" s="1"/>
  <c r="I39" i="6"/>
  <c r="J39" i="6" s="1"/>
  <c r="K39" i="6" s="1"/>
  <c r="T38" i="6"/>
  <c r="U38" i="6" s="1"/>
  <c r="W37" i="5"/>
  <c r="X37" i="5" s="1"/>
  <c r="I38" i="5"/>
  <c r="J38" i="5" s="1"/>
  <c r="K38" i="5" s="1"/>
  <c r="S38" i="4"/>
  <c r="T38" i="4" s="1"/>
  <c r="I39" i="4"/>
  <c r="J39" i="4" s="1"/>
  <c r="K39" i="4" s="1"/>
  <c r="P39" i="2"/>
  <c r="I101" i="3"/>
  <c r="J101" i="3" s="1"/>
  <c r="K101" i="3"/>
  <c r="I39" i="3"/>
  <c r="J39" i="3" s="1"/>
  <c r="K39" i="3" s="1"/>
  <c r="R38" i="3"/>
  <c r="S38" i="3" s="1"/>
  <c r="J35" i="2"/>
  <c r="K35" i="2" s="1"/>
  <c r="I36" i="2" s="1"/>
  <c r="O40" i="2"/>
  <c r="L41" i="2"/>
  <c r="I39" i="8" l="1"/>
  <c r="J39" i="8" s="1"/>
  <c r="X38" i="8"/>
  <c r="Y38" i="8" s="1"/>
  <c r="K39" i="8"/>
  <c r="R95" i="7"/>
  <c r="U94" i="7"/>
  <c r="I39" i="7"/>
  <c r="J39" i="7" s="1"/>
  <c r="T38" i="7"/>
  <c r="U38" i="7" s="1"/>
  <c r="K39" i="7"/>
  <c r="I40" i="6"/>
  <c r="J40" i="6" s="1"/>
  <c r="K40" i="6" s="1"/>
  <c r="T39" i="6"/>
  <c r="U39" i="6" s="1"/>
  <c r="W38" i="5"/>
  <c r="X38" i="5" s="1"/>
  <c r="I39" i="5"/>
  <c r="J39" i="5" s="1"/>
  <c r="K39" i="5" s="1"/>
  <c r="S39" i="4"/>
  <c r="T39" i="4" s="1"/>
  <c r="I40" i="4"/>
  <c r="J40" i="4" s="1"/>
  <c r="K40" i="4" s="1"/>
  <c r="P40" i="2"/>
  <c r="I102" i="3"/>
  <c r="J102" i="3" s="1"/>
  <c r="K102" i="3" s="1"/>
  <c r="I40" i="3"/>
  <c r="J40" i="3" s="1"/>
  <c r="R39" i="3"/>
  <c r="S39" i="3" s="1"/>
  <c r="K40" i="3"/>
  <c r="R35" i="2"/>
  <c r="S35" i="2" s="1"/>
  <c r="O41" i="2"/>
  <c r="L42" i="2"/>
  <c r="I40" i="8" l="1"/>
  <c r="J40" i="8" s="1"/>
  <c r="K40" i="8" s="1"/>
  <c r="X39" i="8"/>
  <c r="Y39" i="8" s="1"/>
  <c r="R96" i="7"/>
  <c r="U95" i="7"/>
  <c r="T39" i="7"/>
  <c r="U39" i="7" s="1"/>
  <c r="I40" i="7"/>
  <c r="J40" i="7" s="1"/>
  <c r="K40" i="7"/>
  <c r="T40" i="6"/>
  <c r="U40" i="6" s="1"/>
  <c r="I41" i="6"/>
  <c r="J41" i="6" s="1"/>
  <c r="K41" i="6" s="1"/>
  <c r="I40" i="5"/>
  <c r="J40" i="5" s="1"/>
  <c r="K40" i="5" s="1"/>
  <c r="W39" i="5"/>
  <c r="X39" i="5" s="1"/>
  <c r="I41" i="4"/>
  <c r="J41" i="4" s="1"/>
  <c r="K41" i="4"/>
  <c r="S40" i="4"/>
  <c r="T40" i="4" s="1"/>
  <c r="P41" i="2"/>
  <c r="I103" i="3"/>
  <c r="J103" i="3" s="1"/>
  <c r="K103" i="3"/>
  <c r="I41" i="3"/>
  <c r="J41" i="3" s="1"/>
  <c r="R40" i="3"/>
  <c r="S40" i="3" s="1"/>
  <c r="K41" i="3"/>
  <c r="J36" i="2"/>
  <c r="K36" i="2" s="1"/>
  <c r="I37" i="2" s="1"/>
  <c r="O42" i="2"/>
  <c r="L43" i="2"/>
  <c r="I41" i="8" l="1"/>
  <c r="J41" i="8" s="1"/>
  <c r="K41" i="8" s="1"/>
  <c r="X40" i="8"/>
  <c r="Y40" i="8" s="1"/>
  <c r="R97" i="7"/>
  <c r="U96" i="7"/>
  <c r="T40" i="7"/>
  <c r="U40" i="7" s="1"/>
  <c r="I41" i="7"/>
  <c r="J41" i="7" s="1"/>
  <c r="K41" i="7" s="1"/>
  <c r="I42" i="6"/>
  <c r="J42" i="6" s="1"/>
  <c r="K42" i="6"/>
  <c r="T41" i="6"/>
  <c r="U41" i="6" s="1"/>
  <c r="I41" i="5"/>
  <c r="J41" i="5" s="1"/>
  <c r="K41" i="5" s="1"/>
  <c r="W40" i="5"/>
  <c r="X40" i="5" s="1"/>
  <c r="I42" i="4"/>
  <c r="J42" i="4" s="1"/>
  <c r="K42" i="4" s="1"/>
  <c r="S41" i="4"/>
  <c r="T41" i="4" s="1"/>
  <c r="P42" i="2"/>
  <c r="I104" i="3"/>
  <c r="J104" i="3" s="1"/>
  <c r="K104" i="3" s="1"/>
  <c r="I42" i="3"/>
  <c r="J42" i="3" s="1"/>
  <c r="K42" i="3" s="1"/>
  <c r="R41" i="3"/>
  <c r="S41" i="3" s="1"/>
  <c r="R36" i="2"/>
  <c r="S36" i="2" s="1"/>
  <c r="O43" i="2"/>
  <c r="L44" i="2"/>
  <c r="I42" i="8" l="1"/>
  <c r="J42" i="8" s="1"/>
  <c r="X41" i="8"/>
  <c r="Y41" i="8" s="1"/>
  <c r="K42" i="8"/>
  <c r="R98" i="7"/>
  <c r="U97" i="7"/>
  <c r="I42" i="7"/>
  <c r="J42" i="7" s="1"/>
  <c r="K42" i="7" s="1"/>
  <c r="T41" i="7"/>
  <c r="U41" i="7" s="1"/>
  <c r="T42" i="6"/>
  <c r="U42" i="6" s="1"/>
  <c r="I43" i="6"/>
  <c r="J43" i="6" s="1"/>
  <c r="K43" i="6" s="1"/>
  <c r="W41" i="5"/>
  <c r="X41" i="5" s="1"/>
  <c r="I42" i="5"/>
  <c r="J42" i="5" s="1"/>
  <c r="K42" i="5" s="1"/>
  <c r="I43" i="4"/>
  <c r="J43" i="4" s="1"/>
  <c r="K43" i="4" s="1"/>
  <c r="S42" i="4"/>
  <c r="T42" i="4" s="1"/>
  <c r="P43" i="2"/>
  <c r="I105" i="3"/>
  <c r="J105" i="3" s="1"/>
  <c r="K105" i="3"/>
  <c r="R42" i="3"/>
  <c r="S42" i="3" s="1"/>
  <c r="I43" i="3"/>
  <c r="J43" i="3" s="1"/>
  <c r="K43" i="3" s="1"/>
  <c r="J37" i="2"/>
  <c r="K37" i="2" s="1"/>
  <c r="I38" i="2" s="1"/>
  <c r="O44" i="2"/>
  <c r="L45" i="2"/>
  <c r="I43" i="8" l="1"/>
  <c r="J43" i="8" s="1"/>
  <c r="K43" i="8" s="1"/>
  <c r="X42" i="8"/>
  <c r="Y42" i="8" s="1"/>
  <c r="U98" i="7"/>
  <c r="R99" i="7"/>
  <c r="T42" i="7"/>
  <c r="U42" i="7" s="1"/>
  <c r="I43" i="7"/>
  <c r="J43" i="7" s="1"/>
  <c r="K43" i="7"/>
  <c r="I44" i="6"/>
  <c r="J44" i="6" s="1"/>
  <c r="T43" i="6"/>
  <c r="U43" i="6" s="1"/>
  <c r="K44" i="6"/>
  <c r="W42" i="5"/>
  <c r="X42" i="5" s="1"/>
  <c r="I43" i="5"/>
  <c r="J43" i="5" s="1"/>
  <c r="K43" i="5" s="1"/>
  <c r="S43" i="4"/>
  <c r="T43" i="4" s="1"/>
  <c r="I44" i="4"/>
  <c r="J44" i="4" s="1"/>
  <c r="K44" i="4" s="1"/>
  <c r="P44" i="2"/>
  <c r="I106" i="3"/>
  <c r="J106" i="3" s="1"/>
  <c r="K106" i="3" s="1"/>
  <c r="R43" i="3"/>
  <c r="S43" i="3" s="1"/>
  <c r="I44" i="3"/>
  <c r="J44" i="3" s="1"/>
  <c r="K44" i="3"/>
  <c r="R37" i="2"/>
  <c r="S37" i="2" s="1"/>
  <c r="O45" i="2"/>
  <c r="P45" i="2" s="1"/>
  <c r="L46" i="2"/>
  <c r="X43" i="8" l="1"/>
  <c r="Y43" i="8" s="1"/>
  <c r="I44" i="8"/>
  <c r="J44" i="8" s="1"/>
  <c r="K44" i="8" s="1"/>
  <c r="R100" i="7"/>
  <c r="U99" i="7"/>
  <c r="I44" i="7"/>
  <c r="J44" i="7" s="1"/>
  <c r="K44" i="7" s="1"/>
  <c r="T43" i="7"/>
  <c r="U43" i="7" s="1"/>
  <c r="I45" i="6"/>
  <c r="J45" i="6" s="1"/>
  <c r="K45" i="6" s="1"/>
  <c r="T44" i="6"/>
  <c r="U44" i="6" s="1"/>
  <c r="W43" i="5"/>
  <c r="X43" i="5" s="1"/>
  <c r="I44" i="5"/>
  <c r="J44" i="5" s="1"/>
  <c r="K44" i="5" s="1"/>
  <c r="I45" i="4"/>
  <c r="J45" i="4" s="1"/>
  <c r="K45" i="4" s="1"/>
  <c r="S44" i="4"/>
  <c r="T44" i="4" s="1"/>
  <c r="I107" i="3"/>
  <c r="J107" i="3" s="1"/>
  <c r="K107" i="3"/>
  <c r="I45" i="3"/>
  <c r="J45" i="3" s="1"/>
  <c r="R44" i="3"/>
  <c r="S44" i="3" s="1"/>
  <c r="K45" i="3"/>
  <c r="J38" i="2"/>
  <c r="K38" i="2" s="1"/>
  <c r="I39" i="2" s="1"/>
  <c r="O46" i="2"/>
  <c r="P46" i="2" s="1"/>
  <c r="L47" i="2"/>
  <c r="X44" i="8" l="1"/>
  <c r="Y44" i="8" s="1"/>
  <c r="I45" i="8"/>
  <c r="J45" i="8" s="1"/>
  <c r="K45" i="8" s="1"/>
  <c r="R101" i="7"/>
  <c r="U100" i="7"/>
  <c r="I45" i="7"/>
  <c r="J45" i="7" s="1"/>
  <c r="K45" i="7" s="1"/>
  <c r="T44" i="7"/>
  <c r="U44" i="7" s="1"/>
  <c r="I46" i="6"/>
  <c r="J46" i="6" s="1"/>
  <c r="T45" i="6"/>
  <c r="U45" i="6" s="1"/>
  <c r="K46" i="6"/>
  <c r="I45" i="5"/>
  <c r="J45" i="5" s="1"/>
  <c r="K45" i="5" s="1"/>
  <c r="W44" i="5"/>
  <c r="X44" i="5" s="1"/>
  <c r="S45" i="4"/>
  <c r="T45" i="4" s="1"/>
  <c r="I46" i="4"/>
  <c r="J46" i="4" s="1"/>
  <c r="K46" i="4" s="1"/>
  <c r="I108" i="3"/>
  <c r="J108" i="3" s="1"/>
  <c r="K108" i="3"/>
  <c r="I46" i="3"/>
  <c r="J46" i="3" s="1"/>
  <c r="K46" i="3" s="1"/>
  <c r="R45" i="3"/>
  <c r="S45" i="3" s="1"/>
  <c r="R38" i="2"/>
  <c r="S38" i="2" s="1"/>
  <c r="O47" i="2"/>
  <c r="P47" i="2" s="1"/>
  <c r="L48" i="2"/>
  <c r="I46" i="8" l="1"/>
  <c r="J46" i="8" s="1"/>
  <c r="K46" i="8" s="1"/>
  <c r="X45" i="8"/>
  <c r="Y45" i="8" s="1"/>
  <c r="R102" i="7"/>
  <c r="U101" i="7"/>
  <c r="I46" i="7"/>
  <c r="J46" i="7" s="1"/>
  <c r="T45" i="7"/>
  <c r="U45" i="7" s="1"/>
  <c r="K46" i="7"/>
  <c r="I47" i="6"/>
  <c r="J47" i="6" s="1"/>
  <c r="K47" i="6"/>
  <c r="T46" i="6"/>
  <c r="U46" i="6" s="1"/>
  <c r="I46" i="5"/>
  <c r="J46" i="5" s="1"/>
  <c r="K46" i="5" s="1"/>
  <c r="W45" i="5"/>
  <c r="X45" i="5" s="1"/>
  <c r="S46" i="4"/>
  <c r="T46" i="4" s="1"/>
  <c r="I47" i="4"/>
  <c r="J47" i="4" s="1"/>
  <c r="K47" i="4" s="1"/>
  <c r="I109" i="3"/>
  <c r="J109" i="3" s="1"/>
  <c r="K109" i="3"/>
  <c r="R46" i="3"/>
  <c r="S46" i="3" s="1"/>
  <c r="I47" i="3"/>
  <c r="J47" i="3" s="1"/>
  <c r="K47" i="3" s="1"/>
  <c r="J39" i="2"/>
  <c r="K39" i="2" s="1"/>
  <c r="I40" i="2" s="1"/>
  <c r="O48" i="2"/>
  <c r="P48" i="2" s="1"/>
  <c r="L49" i="2"/>
  <c r="I47" i="8" l="1"/>
  <c r="J47" i="8" s="1"/>
  <c r="K47" i="8" s="1"/>
  <c r="X46" i="8"/>
  <c r="Y46" i="8" s="1"/>
  <c r="R103" i="7"/>
  <c r="U102" i="7"/>
  <c r="I47" i="7"/>
  <c r="J47" i="7" s="1"/>
  <c r="T46" i="7"/>
  <c r="U46" i="7" s="1"/>
  <c r="K47" i="7"/>
  <c r="T47" i="6"/>
  <c r="U47" i="6" s="1"/>
  <c r="I48" i="6"/>
  <c r="J48" i="6" s="1"/>
  <c r="K48" i="6" s="1"/>
  <c r="W46" i="5"/>
  <c r="X46" i="5" s="1"/>
  <c r="I47" i="5"/>
  <c r="J47" i="5" s="1"/>
  <c r="K47" i="5" s="1"/>
  <c r="I48" i="4"/>
  <c r="J48" i="4" s="1"/>
  <c r="K48" i="4"/>
  <c r="S47" i="4"/>
  <c r="T47" i="4" s="1"/>
  <c r="I110" i="3"/>
  <c r="J110" i="3" s="1"/>
  <c r="K110" i="3" s="1"/>
  <c r="R47" i="3"/>
  <c r="S47" i="3" s="1"/>
  <c r="I48" i="3"/>
  <c r="J48" i="3" s="1"/>
  <c r="K48" i="3" s="1"/>
  <c r="R39" i="2"/>
  <c r="S39" i="2" s="1"/>
  <c r="O49" i="2"/>
  <c r="P49" i="2" s="1"/>
  <c r="L50" i="2"/>
  <c r="X47" i="8" l="1"/>
  <c r="Y47" i="8" s="1"/>
  <c r="I48" i="8"/>
  <c r="J48" i="8" s="1"/>
  <c r="K48" i="8" s="1"/>
  <c r="R104" i="7"/>
  <c r="U103" i="7"/>
  <c r="T47" i="7"/>
  <c r="U47" i="7" s="1"/>
  <c r="I48" i="7"/>
  <c r="J48" i="7" s="1"/>
  <c r="K48" i="7"/>
  <c r="I49" i="6"/>
  <c r="J49" i="6" s="1"/>
  <c r="K49" i="6" s="1"/>
  <c r="T48" i="6"/>
  <c r="U48" i="6" s="1"/>
  <c r="W47" i="5"/>
  <c r="X47" i="5" s="1"/>
  <c r="I48" i="5"/>
  <c r="J48" i="5" s="1"/>
  <c r="K48" i="5" s="1"/>
  <c r="S48" i="4"/>
  <c r="T48" i="4" s="1"/>
  <c r="I49" i="4"/>
  <c r="J49" i="4" s="1"/>
  <c r="K49" i="4"/>
  <c r="I111" i="3"/>
  <c r="J111" i="3" s="1"/>
  <c r="K111" i="3" s="1"/>
  <c r="R48" i="3"/>
  <c r="S48" i="3" s="1"/>
  <c r="I49" i="3"/>
  <c r="J49" i="3" s="1"/>
  <c r="K49" i="3" s="1"/>
  <c r="J40" i="2"/>
  <c r="K40" i="2" s="1"/>
  <c r="I41" i="2" s="1"/>
  <c r="O50" i="2"/>
  <c r="P50" i="2" s="1"/>
  <c r="L51" i="2"/>
  <c r="I49" i="8" l="1"/>
  <c r="J49" i="8" s="1"/>
  <c r="K49" i="8" s="1"/>
  <c r="X48" i="8"/>
  <c r="Y48" i="8" s="1"/>
  <c r="R105" i="7"/>
  <c r="U104" i="7"/>
  <c r="I49" i="7"/>
  <c r="J49" i="7" s="1"/>
  <c r="K49" i="7" s="1"/>
  <c r="T48" i="7"/>
  <c r="U48" i="7" s="1"/>
  <c r="I50" i="6"/>
  <c r="J50" i="6" s="1"/>
  <c r="K50" i="6" s="1"/>
  <c r="T49" i="6"/>
  <c r="U49" i="6" s="1"/>
  <c r="W48" i="5"/>
  <c r="X48" i="5" s="1"/>
  <c r="I49" i="5"/>
  <c r="J49" i="5" s="1"/>
  <c r="K49" i="5" s="1"/>
  <c r="I50" i="4"/>
  <c r="J50" i="4" s="1"/>
  <c r="K50" i="4" s="1"/>
  <c r="S49" i="4"/>
  <c r="T49" i="4" s="1"/>
  <c r="I112" i="3"/>
  <c r="J112" i="3" s="1"/>
  <c r="K112" i="3"/>
  <c r="I50" i="3"/>
  <c r="J50" i="3" s="1"/>
  <c r="K50" i="3" s="1"/>
  <c r="R49" i="3"/>
  <c r="S49" i="3" s="1"/>
  <c r="R40" i="2"/>
  <c r="S40" i="2" s="1"/>
  <c r="O51" i="2"/>
  <c r="L52" i="2"/>
  <c r="I50" i="8" l="1"/>
  <c r="J50" i="8" s="1"/>
  <c r="K50" i="8" s="1"/>
  <c r="X49" i="8"/>
  <c r="Y49" i="8" s="1"/>
  <c r="R106" i="7"/>
  <c r="U105" i="7"/>
  <c r="T49" i="7"/>
  <c r="U49" i="7" s="1"/>
  <c r="I50" i="7"/>
  <c r="J50" i="7" s="1"/>
  <c r="K50" i="7" s="1"/>
  <c r="I51" i="6"/>
  <c r="J51" i="6" s="1"/>
  <c r="K51" i="6" s="1"/>
  <c r="T50" i="6"/>
  <c r="U50" i="6" s="1"/>
  <c r="I50" i="5"/>
  <c r="J50" i="5" s="1"/>
  <c r="K50" i="5" s="1"/>
  <c r="W49" i="5"/>
  <c r="X49" i="5" s="1"/>
  <c r="S50" i="4"/>
  <c r="T50" i="4" s="1"/>
  <c r="I51" i="4"/>
  <c r="J51" i="4" s="1"/>
  <c r="K51" i="4" s="1"/>
  <c r="P51" i="2"/>
  <c r="I113" i="3"/>
  <c r="J113" i="3" s="1"/>
  <c r="K113" i="3"/>
  <c r="I51" i="3"/>
  <c r="J51" i="3" s="1"/>
  <c r="R50" i="3"/>
  <c r="S50" i="3" s="1"/>
  <c r="K51" i="3"/>
  <c r="J41" i="2"/>
  <c r="K41" i="2" s="1"/>
  <c r="I42" i="2" s="1"/>
  <c r="O52" i="2"/>
  <c r="P52" i="2" s="1"/>
  <c r="L53" i="2"/>
  <c r="X50" i="8" l="1"/>
  <c r="Y50" i="8" s="1"/>
  <c r="I51" i="8"/>
  <c r="J51" i="8" s="1"/>
  <c r="K51" i="8" s="1"/>
  <c r="R107" i="7"/>
  <c r="U106" i="7"/>
  <c r="T50" i="7"/>
  <c r="U50" i="7" s="1"/>
  <c r="I51" i="7"/>
  <c r="J51" i="7" s="1"/>
  <c r="K51" i="7" s="1"/>
  <c r="I52" i="6"/>
  <c r="J52" i="6" s="1"/>
  <c r="K52" i="6" s="1"/>
  <c r="T51" i="6"/>
  <c r="U51" i="6" s="1"/>
  <c r="I51" i="5"/>
  <c r="J51" i="5" s="1"/>
  <c r="K51" i="5" s="1"/>
  <c r="W50" i="5"/>
  <c r="X50" i="5" s="1"/>
  <c r="I52" i="4"/>
  <c r="J52" i="4" s="1"/>
  <c r="K52" i="4" s="1"/>
  <c r="S51" i="4"/>
  <c r="T51" i="4" s="1"/>
  <c r="I114" i="3"/>
  <c r="J114" i="3" s="1"/>
  <c r="K114" i="3"/>
  <c r="I52" i="3"/>
  <c r="J52" i="3" s="1"/>
  <c r="R51" i="3"/>
  <c r="S51" i="3" s="1"/>
  <c r="K52" i="3"/>
  <c r="R41" i="2"/>
  <c r="S41" i="2" s="1"/>
  <c r="O53" i="2"/>
  <c r="L54" i="2"/>
  <c r="I52" i="8" l="1"/>
  <c r="J52" i="8" s="1"/>
  <c r="K52" i="8" s="1"/>
  <c r="X51" i="8"/>
  <c r="Y51" i="8" s="1"/>
  <c r="R108" i="7"/>
  <c r="U107" i="7"/>
  <c r="I52" i="7"/>
  <c r="J52" i="7" s="1"/>
  <c r="K52" i="7" s="1"/>
  <c r="T51" i="7"/>
  <c r="U51" i="7" s="1"/>
  <c r="I53" i="6"/>
  <c r="J53" i="6" s="1"/>
  <c r="K53" i="6" s="1"/>
  <c r="T52" i="6"/>
  <c r="U52" i="6" s="1"/>
  <c r="I52" i="5"/>
  <c r="J52" i="5" s="1"/>
  <c r="W51" i="5"/>
  <c r="X51" i="5" s="1"/>
  <c r="K52" i="5"/>
  <c r="I53" i="4"/>
  <c r="J53" i="4" s="1"/>
  <c r="K53" i="4" s="1"/>
  <c r="S52" i="4"/>
  <c r="T52" i="4" s="1"/>
  <c r="P53" i="2"/>
  <c r="I115" i="3"/>
  <c r="J115" i="3" s="1"/>
  <c r="K115" i="3"/>
  <c r="I53" i="3"/>
  <c r="J53" i="3" s="1"/>
  <c r="K53" i="3" s="1"/>
  <c r="R52" i="3"/>
  <c r="S52" i="3" s="1"/>
  <c r="J42" i="2"/>
  <c r="K42" i="2" s="1"/>
  <c r="I43" i="2" s="1"/>
  <c r="O54" i="2"/>
  <c r="L55" i="2"/>
  <c r="I53" i="8" l="1"/>
  <c r="J53" i="8" s="1"/>
  <c r="K53" i="8" s="1"/>
  <c r="X52" i="8"/>
  <c r="Y52" i="8" s="1"/>
  <c r="R109" i="7"/>
  <c r="U108" i="7"/>
  <c r="T52" i="7"/>
  <c r="U52" i="7" s="1"/>
  <c r="I53" i="7"/>
  <c r="J53" i="7" s="1"/>
  <c r="K53" i="7" s="1"/>
  <c r="I54" i="6"/>
  <c r="J54" i="6" s="1"/>
  <c r="K54" i="6" s="1"/>
  <c r="T53" i="6"/>
  <c r="U53" i="6" s="1"/>
  <c r="I53" i="5"/>
  <c r="J53" i="5" s="1"/>
  <c r="K53" i="5" s="1"/>
  <c r="W52" i="5"/>
  <c r="X52" i="5" s="1"/>
  <c r="I54" i="4"/>
  <c r="J54" i="4" s="1"/>
  <c r="K54" i="4" s="1"/>
  <c r="S53" i="4"/>
  <c r="T53" i="4" s="1"/>
  <c r="P54" i="2"/>
  <c r="I116" i="3"/>
  <c r="J116" i="3" s="1"/>
  <c r="K116" i="3"/>
  <c r="I54" i="3"/>
  <c r="J54" i="3" s="1"/>
  <c r="K54" i="3" s="1"/>
  <c r="R53" i="3"/>
  <c r="S53" i="3" s="1"/>
  <c r="R42" i="2"/>
  <c r="S42" i="2" s="1"/>
  <c r="O55" i="2"/>
  <c r="L56" i="2"/>
  <c r="X53" i="8" l="1"/>
  <c r="Y53" i="8" s="1"/>
  <c r="I54" i="8"/>
  <c r="J54" i="8" s="1"/>
  <c r="K54" i="8" s="1"/>
  <c r="R110" i="7"/>
  <c r="U109" i="7"/>
  <c r="I54" i="7"/>
  <c r="J54" i="7" s="1"/>
  <c r="K54" i="7" s="1"/>
  <c r="T53" i="7"/>
  <c r="U53" i="7" s="1"/>
  <c r="I55" i="6"/>
  <c r="J55" i="6" s="1"/>
  <c r="K55" i="6" s="1"/>
  <c r="T54" i="6"/>
  <c r="U54" i="6" s="1"/>
  <c r="W53" i="5"/>
  <c r="X53" i="5" s="1"/>
  <c r="I54" i="5"/>
  <c r="J54" i="5" s="1"/>
  <c r="K54" i="5" s="1"/>
  <c r="I55" i="4"/>
  <c r="J55" i="4" s="1"/>
  <c r="S54" i="4"/>
  <c r="T54" i="4" s="1"/>
  <c r="K55" i="4"/>
  <c r="P55" i="2"/>
  <c r="I117" i="3"/>
  <c r="J117" i="3" s="1"/>
  <c r="K117" i="3"/>
  <c r="I55" i="3"/>
  <c r="J55" i="3" s="1"/>
  <c r="K55" i="3" s="1"/>
  <c r="R54" i="3"/>
  <c r="S54" i="3" s="1"/>
  <c r="J43" i="2"/>
  <c r="K43" i="2" s="1"/>
  <c r="I44" i="2" s="1"/>
  <c r="O56" i="2"/>
  <c r="L57" i="2"/>
  <c r="I55" i="8" l="1"/>
  <c r="J55" i="8" s="1"/>
  <c r="K55" i="8" s="1"/>
  <c r="X54" i="8"/>
  <c r="Y54" i="8" s="1"/>
  <c r="R111" i="7"/>
  <c r="U110" i="7"/>
  <c r="I55" i="7"/>
  <c r="J55" i="7" s="1"/>
  <c r="K55" i="7"/>
  <c r="T54" i="7"/>
  <c r="U54" i="7" s="1"/>
  <c r="I56" i="6"/>
  <c r="J56" i="6" s="1"/>
  <c r="K56" i="6" s="1"/>
  <c r="T55" i="6"/>
  <c r="U55" i="6" s="1"/>
  <c r="I55" i="5"/>
  <c r="J55" i="5" s="1"/>
  <c r="K55" i="5" s="1"/>
  <c r="W54" i="5"/>
  <c r="X54" i="5" s="1"/>
  <c r="I56" i="4"/>
  <c r="J56" i="4" s="1"/>
  <c r="S55" i="4"/>
  <c r="T55" i="4" s="1"/>
  <c r="K56" i="4"/>
  <c r="P56" i="2"/>
  <c r="I118" i="3"/>
  <c r="J118" i="3" s="1"/>
  <c r="K118" i="3"/>
  <c r="I56" i="3"/>
  <c r="J56" i="3" s="1"/>
  <c r="R55" i="3"/>
  <c r="S55" i="3" s="1"/>
  <c r="K56" i="3"/>
  <c r="R43" i="2"/>
  <c r="S43" i="2" s="1"/>
  <c r="O57" i="2"/>
  <c r="L58" i="2"/>
  <c r="I56" i="8" l="1"/>
  <c r="J56" i="8" s="1"/>
  <c r="K56" i="8" s="1"/>
  <c r="X55" i="8"/>
  <c r="Y55" i="8" s="1"/>
  <c r="R112" i="7"/>
  <c r="U111" i="7"/>
  <c r="I56" i="7"/>
  <c r="J56" i="7" s="1"/>
  <c r="K56" i="7" s="1"/>
  <c r="T55" i="7"/>
  <c r="U55" i="7" s="1"/>
  <c r="I57" i="6"/>
  <c r="J57" i="6" s="1"/>
  <c r="K57" i="6" s="1"/>
  <c r="T56" i="6"/>
  <c r="U56" i="6" s="1"/>
  <c r="I56" i="5"/>
  <c r="J56" i="5" s="1"/>
  <c r="K56" i="5" s="1"/>
  <c r="W55" i="5"/>
  <c r="X55" i="5" s="1"/>
  <c r="S56" i="4"/>
  <c r="T56" i="4" s="1"/>
  <c r="I57" i="4"/>
  <c r="J57" i="4" s="1"/>
  <c r="K57" i="4" s="1"/>
  <c r="P57" i="2"/>
  <c r="I119" i="3"/>
  <c r="J119" i="3" s="1"/>
  <c r="K119" i="3"/>
  <c r="I57" i="3"/>
  <c r="J57" i="3" s="1"/>
  <c r="K57" i="3" s="1"/>
  <c r="R56" i="3"/>
  <c r="S56" i="3" s="1"/>
  <c r="J44" i="2"/>
  <c r="K44" i="2" s="1"/>
  <c r="I45" i="2" s="1"/>
  <c r="O58" i="2"/>
  <c r="P58" i="2" s="1"/>
  <c r="L59" i="2"/>
  <c r="X56" i="8" l="1"/>
  <c r="Y56" i="8" s="1"/>
  <c r="I57" i="8"/>
  <c r="J57" i="8" s="1"/>
  <c r="K57" i="8" s="1"/>
  <c r="U112" i="7"/>
  <c r="R113" i="7"/>
  <c r="I57" i="7"/>
  <c r="J57" i="7" s="1"/>
  <c r="K57" i="7" s="1"/>
  <c r="T56" i="7"/>
  <c r="U56" i="7" s="1"/>
  <c r="T57" i="6"/>
  <c r="U57" i="6" s="1"/>
  <c r="I58" i="6"/>
  <c r="J58" i="6" s="1"/>
  <c r="K58" i="6" s="1"/>
  <c r="I57" i="5"/>
  <c r="J57" i="5" s="1"/>
  <c r="W56" i="5"/>
  <c r="X56" i="5" s="1"/>
  <c r="K57" i="5"/>
  <c r="S57" i="4"/>
  <c r="T57" i="4" s="1"/>
  <c r="I58" i="4"/>
  <c r="J58" i="4" s="1"/>
  <c r="K58" i="4" s="1"/>
  <c r="I120" i="3"/>
  <c r="J120" i="3" s="1"/>
  <c r="K120" i="3"/>
  <c r="R57" i="3"/>
  <c r="S57" i="3" s="1"/>
  <c r="I58" i="3"/>
  <c r="J58" i="3" s="1"/>
  <c r="K58" i="3" s="1"/>
  <c r="R44" i="2"/>
  <c r="S44" i="2" s="1"/>
  <c r="L60" i="2"/>
  <c r="O60" i="2" s="1"/>
  <c r="O59" i="2"/>
  <c r="I58" i="8" l="1"/>
  <c r="J58" i="8" s="1"/>
  <c r="K58" i="8" s="1"/>
  <c r="X57" i="8"/>
  <c r="Y57" i="8" s="1"/>
  <c r="R114" i="7"/>
  <c r="U113" i="7"/>
  <c r="T57" i="7"/>
  <c r="U57" i="7" s="1"/>
  <c r="I58" i="7"/>
  <c r="J58" i="7" s="1"/>
  <c r="K58" i="7" s="1"/>
  <c r="I59" i="6"/>
  <c r="J59" i="6" s="1"/>
  <c r="K59" i="6" s="1"/>
  <c r="T58" i="6"/>
  <c r="U58" i="6" s="1"/>
  <c r="I58" i="5"/>
  <c r="J58" i="5" s="1"/>
  <c r="K58" i="5" s="1"/>
  <c r="W57" i="5"/>
  <c r="X57" i="5" s="1"/>
  <c r="I59" i="4"/>
  <c r="J59" i="4" s="1"/>
  <c r="K59" i="4" s="1"/>
  <c r="S58" i="4"/>
  <c r="T58" i="4" s="1"/>
  <c r="P59" i="2"/>
  <c r="P60" i="2" s="1"/>
  <c r="I121" i="3"/>
  <c r="J121" i="3" s="1"/>
  <c r="K121" i="3"/>
  <c r="R58" i="3"/>
  <c r="S58" i="3" s="1"/>
  <c r="I59" i="3"/>
  <c r="J59" i="3" s="1"/>
  <c r="K59" i="3" s="1"/>
  <c r="J45" i="2"/>
  <c r="K45" i="2" s="1"/>
  <c r="I46" i="2" s="1"/>
  <c r="L61" i="2"/>
  <c r="O61" i="2" s="1"/>
  <c r="I59" i="8" l="1"/>
  <c r="J59" i="8" s="1"/>
  <c r="K59" i="8" s="1"/>
  <c r="X58" i="8"/>
  <c r="Y58" i="8" s="1"/>
  <c r="R115" i="7"/>
  <c r="U114" i="7"/>
  <c r="I59" i="7"/>
  <c r="J59" i="7" s="1"/>
  <c r="K59" i="7" s="1"/>
  <c r="T58" i="7"/>
  <c r="U58" i="7" s="1"/>
  <c r="I60" i="6"/>
  <c r="J60" i="6" s="1"/>
  <c r="T59" i="6"/>
  <c r="U59" i="6" s="1"/>
  <c r="K60" i="6"/>
  <c r="W58" i="5"/>
  <c r="X58" i="5" s="1"/>
  <c r="I59" i="5"/>
  <c r="J59" i="5" s="1"/>
  <c r="K59" i="5" s="1"/>
  <c r="S59" i="4"/>
  <c r="T59" i="4" s="1"/>
  <c r="I60" i="4"/>
  <c r="J60" i="4" s="1"/>
  <c r="K60" i="4" s="1"/>
  <c r="I122" i="3"/>
  <c r="J122" i="3" s="1"/>
  <c r="K122" i="3" s="1"/>
  <c r="R59" i="3"/>
  <c r="S59" i="3" s="1"/>
  <c r="I60" i="3"/>
  <c r="J60" i="3" s="1"/>
  <c r="K60" i="3" s="1"/>
  <c r="R45" i="2"/>
  <c r="S45" i="2" s="1"/>
  <c r="P61" i="2"/>
  <c r="L62" i="2"/>
  <c r="O62" i="2" s="1"/>
  <c r="I60" i="8" l="1"/>
  <c r="J60" i="8" s="1"/>
  <c r="K60" i="8" s="1"/>
  <c r="X59" i="8"/>
  <c r="Y59" i="8" s="1"/>
  <c r="R116" i="7"/>
  <c r="U115" i="7"/>
  <c r="T59" i="7"/>
  <c r="U59" i="7" s="1"/>
  <c r="I60" i="7"/>
  <c r="J60" i="7" s="1"/>
  <c r="K60" i="7" s="1"/>
  <c r="I61" i="6"/>
  <c r="J61" i="6" s="1"/>
  <c r="K61" i="6" s="1"/>
  <c r="T60" i="6"/>
  <c r="U60" i="6" s="1"/>
  <c r="I60" i="5"/>
  <c r="J60" i="5" s="1"/>
  <c r="K60" i="5" s="1"/>
  <c r="W59" i="5"/>
  <c r="X59" i="5" s="1"/>
  <c r="I61" i="4"/>
  <c r="J61" i="4" s="1"/>
  <c r="K61" i="4" s="1"/>
  <c r="S60" i="4"/>
  <c r="T60" i="4" s="1"/>
  <c r="P62" i="2"/>
  <c r="I61" i="3"/>
  <c r="J61" i="3" s="1"/>
  <c r="K61" i="3" s="1"/>
  <c r="R60" i="3"/>
  <c r="S60" i="3" s="1"/>
  <c r="J46" i="2"/>
  <c r="K46" i="2" s="1"/>
  <c r="I47" i="2" s="1"/>
  <c r="I61" i="8" l="1"/>
  <c r="J61" i="8" s="1"/>
  <c r="X60" i="8"/>
  <c r="Y60" i="8" s="1"/>
  <c r="K61" i="8"/>
  <c r="R117" i="7"/>
  <c r="U116" i="7"/>
  <c r="I61" i="7"/>
  <c r="J61" i="7" s="1"/>
  <c r="K61" i="7" s="1"/>
  <c r="T60" i="7"/>
  <c r="U60" i="7" s="1"/>
  <c r="T61" i="6"/>
  <c r="U61" i="6" s="1"/>
  <c r="I62" i="6"/>
  <c r="J62" i="6" s="1"/>
  <c r="K62" i="6" s="1"/>
  <c r="I63" i="6" s="1"/>
  <c r="J63" i="6" s="1"/>
  <c r="K63" i="6" s="1"/>
  <c r="I64" i="6" s="1"/>
  <c r="J64" i="6" s="1"/>
  <c r="K64" i="6" s="1"/>
  <c r="I65" i="6" s="1"/>
  <c r="J65" i="6" s="1"/>
  <c r="K65" i="6" s="1"/>
  <c r="W60" i="5"/>
  <c r="X60" i="5" s="1"/>
  <c r="I61" i="5"/>
  <c r="J61" i="5" s="1"/>
  <c r="K61" i="5" s="1"/>
  <c r="S61" i="4"/>
  <c r="T61" i="4" s="1"/>
  <c r="I62" i="4"/>
  <c r="J62" i="4" s="1"/>
  <c r="K62" i="4" s="1"/>
  <c r="I62" i="3"/>
  <c r="J62" i="3" s="1"/>
  <c r="K62" i="3" s="1"/>
  <c r="R61" i="3"/>
  <c r="S61" i="3" s="1"/>
  <c r="R46" i="2"/>
  <c r="S46" i="2" s="1"/>
  <c r="I62" i="8" l="1"/>
  <c r="J62" i="8" s="1"/>
  <c r="K62" i="8" s="1"/>
  <c r="I63" i="8" s="1"/>
  <c r="J63" i="8" s="1"/>
  <c r="K63" i="8" s="1"/>
  <c r="X63" i="8" s="1"/>
  <c r="Y63" i="8" s="1"/>
  <c r="X61" i="8"/>
  <c r="Y61" i="8" s="1"/>
  <c r="I66" i="6"/>
  <c r="J66" i="6" s="1"/>
  <c r="K66" i="6"/>
  <c r="I67" i="6" s="1"/>
  <c r="J67" i="6" s="1"/>
  <c r="K67" i="6" s="1"/>
  <c r="I68" i="6" s="1"/>
  <c r="J68" i="6" s="1"/>
  <c r="K68" i="6" s="1"/>
  <c r="R118" i="7"/>
  <c r="U117" i="7"/>
  <c r="T61" i="7"/>
  <c r="U61" i="7" s="1"/>
  <c r="I62" i="7"/>
  <c r="J62" i="7" s="1"/>
  <c r="K62" i="7" s="1"/>
  <c r="I63" i="7" s="1"/>
  <c r="J63" i="7" s="1"/>
  <c r="K63" i="7" s="1"/>
  <c r="I64" i="7" s="1"/>
  <c r="J64" i="7" s="1"/>
  <c r="K64" i="7" s="1"/>
  <c r="I65" i="7" s="1"/>
  <c r="J65" i="7" s="1"/>
  <c r="K65" i="7" s="1"/>
  <c r="I66" i="7" s="1"/>
  <c r="J66" i="7" s="1"/>
  <c r="K66" i="7" s="1"/>
  <c r="I67" i="7" s="1"/>
  <c r="J67" i="7" s="1"/>
  <c r="K67" i="7" s="1"/>
  <c r="I68" i="7" s="1"/>
  <c r="J68" i="7" s="1"/>
  <c r="K68" i="7" s="1"/>
  <c r="T62" i="6"/>
  <c r="U62" i="6" s="1"/>
  <c r="C29" i="6"/>
  <c r="C30" i="6" s="1"/>
  <c r="Q122" i="6" s="1"/>
  <c r="I62" i="5"/>
  <c r="J62" i="5" s="1"/>
  <c r="K62" i="5" s="1"/>
  <c r="W61" i="5"/>
  <c r="X61" i="5" s="1"/>
  <c r="S62" i="4"/>
  <c r="T62" i="4" s="1"/>
  <c r="C29" i="4"/>
  <c r="C30" i="4"/>
  <c r="M62" i="4" s="1"/>
  <c r="M63" i="4" s="1"/>
  <c r="R62" i="3"/>
  <c r="J47" i="2"/>
  <c r="K47" i="2" s="1"/>
  <c r="I48" i="2" s="1"/>
  <c r="I64" i="8" l="1"/>
  <c r="J64" i="8" s="1"/>
  <c r="K64" i="8"/>
  <c r="X62" i="8"/>
  <c r="Y62" i="8" s="1"/>
  <c r="C29" i="8"/>
  <c r="C30" i="8"/>
  <c r="I69" i="6"/>
  <c r="J69" i="6" s="1"/>
  <c r="K69" i="6"/>
  <c r="I70" i="6" s="1"/>
  <c r="J70" i="6" s="1"/>
  <c r="K70" i="6" s="1"/>
  <c r="I71" i="6" s="1"/>
  <c r="J71" i="6" s="1"/>
  <c r="K71" i="6" s="1"/>
  <c r="R119" i="7"/>
  <c r="U118" i="7"/>
  <c r="I69" i="7"/>
  <c r="J69" i="7" s="1"/>
  <c r="K69" i="7" s="1"/>
  <c r="I70" i="7" s="1"/>
  <c r="J70" i="7" s="1"/>
  <c r="K70" i="7" s="1"/>
  <c r="I71" i="7" s="1"/>
  <c r="J71" i="7" s="1"/>
  <c r="K71" i="7" s="1"/>
  <c r="T62" i="7"/>
  <c r="U62" i="7" s="1"/>
  <c r="Q122" i="7"/>
  <c r="R122" i="6"/>
  <c r="W62" i="5"/>
  <c r="X62" i="5" s="1"/>
  <c r="C29" i="5"/>
  <c r="C30" i="5" s="1"/>
  <c r="M64" i="4"/>
  <c r="R47" i="2"/>
  <c r="S47" i="2" s="1"/>
  <c r="I65" i="8" l="1"/>
  <c r="J65" i="8" s="1"/>
  <c r="K65" i="8" s="1"/>
  <c r="X64" i="8"/>
  <c r="Y64" i="8" s="1"/>
  <c r="I72" i="6"/>
  <c r="J72" i="6" s="1"/>
  <c r="K72" i="6"/>
  <c r="I73" i="6" s="1"/>
  <c r="J73" i="6" s="1"/>
  <c r="K73" i="6" s="1"/>
  <c r="I74" i="6" s="1"/>
  <c r="J74" i="6" s="1"/>
  <c r="K74" i="6" s="1"/>
  <c r="R120" i="7"/>
  <c r="U119" i="7"/>
  <c r="I72" i="7"/>
  <c r="J72" i="7" s="1"/>
  <c r="K72" i="7" s="1"/>
  <c r="G139" i="7"/>
  <c r="G126" i="7" s="1"/>
  <c r="U122" i="5"/>
  <c r="G139" i="5"/>
  <c r="G126" i="5" s="1"/>
  <c r="M65" i="4"/>
  <c r="Q63" i="4"/>
  <c r="G134" i="3"/>
  <c r="P62" i="3"/>
  <c r="J48" i="2"/>
  <c r="K48" i="2" s="1"/>
  <c r="I49" i="2" s="1"/>
  <c r="I66" i="8" l="1"/>
  <c r="J66" i="8" s="1"/>
  <c r="K66" i="8" s="1"/>
  <c r="X65" i="8"/>
  <c r="Y65" i="8" s="1"/>
  <c r="I75" i="6"/>
  <c r="J75" i="6" s="1"/>
  <c r="K75" i="6"/>
  <c r="I76" i="6" s="1"/>
  <c r="J76" i="6" s="1"/>
  <c r="K76" i="6" s="1"/>
  <c r="I77" i="6" s="1"/>
  <c r="J77" i="6" s="1"/>
  <c r="K77" i="6" s="1"/>
  <c r="R121" i="7"/>
  <c r="U120" i="7"/>
  <c r="I73" i="7"/>
  <c r="J73" i="7" s="1"/>
  <c r="K73" i="7" s="1"/>
  <c r="I74" i="7" s="1"/>
  <c r="J74" i="7" s="1"/>
  <c r="K74" i="7" s="1"/>
  <c r="I75" i="7" s="1"/>
  <c r="J75" i="7" s="1"/>
  <c r="K75" i="7" s="1"/>
  <c r="I76" i="7" s="1"/>
  <c r="J76" i="7" s="1"/>
  <c r="K76" i="7" s="1"/>
  <c r="I77" i="7" s="1"/>
  <c r="J77" i="7" s="1"/>
  <c r="K77" i="7" s="1"/>
  <c r="I78" i="7" s="1"/>
  <c r="J78" i="7" s="1"/>
  <c r="K78" i="7" s="1"/>
  <c r="I79" i="7" s="1"/>
  <c r="J79" i="7" s="1"/>
  <c r="K79" i="7" s="1"/>
  <c r="Q64" i="4"/>
  <c r="M66" i="4"/>
  <c r="P63" i="3"/>
  <c r="S62" i="3"/>
  <c r="R48" i="2"/>
  <c r="S48" i="2" s="1"/>
  <c r="I67" i="8" l="1"/>
  <c r="J67" i="8" s="1"/>
  <c r="K67" i="8" s="1"/>
  <c r="X66" i="8"/>
  <c r="Y66" i="8" s="1"/>
  <c r="I78" i="6"/>
  <c r="J78" i="6" s="1"/>
  <c r="K78" i="6"/>
  <c r="U121" i="7"/>
  <c r="R122" i="7"/>
  <c r="U122" i="7" s="1"/>
  <c r="I80" i="7"/>
  <c r="J80" i="7" s="1"/>
  <c r="K80" i="7" s="1"/>
  <c r="I81" i="7" s="1"/>
  <c r="J81" i="7" s="1"/>
  <c r="K81" i="7" s="1"/>
  <c r="I82" i="7" s="1"/>
  <c r="J82" i="7" s="1"/>
  <c r="K82" i="7" s="1"/>
  <c r="M67" i="4"/>
  <c r="Q65" i="4"/>
  <c r="Q66" i="4" s="1"/>
  <c r="P64" i="3"/>
  <c r="J49" i="2"/>
  <c r="K49" i="2" s="1"/>
  <c r="I50" i="2" s="1"/>
  <c r="I68" i="8" l="1"/>
  <c r="J68" i="8" s="1"/>
  <c r="K68" i="8" s="1"/>
  <c r="X67" i="8"/>
  <c r="Y67" i="8" s="1"/>
  <c r="I79" i="6"/>
  <c r="J79" i="6" s="1"/>
  <c r="K79" i="6"/>
  <c r="I80" i="6" s="1"/>
  <c r="J80" i="6" s="1"/>
  <c r="K80" i="6" s="1"/>
  <c r="I81" i="6" s="1"/>
  <c r="J81" i="6" s="1"/>
  <c r="K81" i="6" s="1"/>
  <c r="I82" i="6" s="1"/>
  <c r="J82" i="6" s="1"/>
  <c r="K82" i="6" s="1"/>
  <c r="I83" i="7"/>
  <c r="J83" i="7" s="1"/>
  <c r="K83" i="7"/>
  <c r="M68" i="4"/>
  <c r="P65" i="3"/>
  <c r="R49" i="2"/>
  <c r="S49" i="2" s="1"/>
  <c r="I69" i="8" l="1"/>
  <c r="J69" i="8" s="1"/>
  <c r="K69" i="8" s="1"/>
  <c r="X68" i="8"/>
  <c r="Y68" i="8" s="1"/>
  <c r="I83" i="6"/>
  <c r="J83" i="6" s="1"/>
  <c r="K83" i="6"/>
  <c r="I84" i="6" s="1"/>
  <c r="J84" i="6" s="1"/>
  <c r="K84" i="6" s="1"/>
  <c r="I84" i="7"/>
  <c r="J84" i="7" s="1"/>
  <c r="K84" i="7" s="1"/>
  <c r="I85" i="7" s="1"/>
  <c r="J85" i="7" s="1"/>
  <c r="K85" i="7" s="1"/>
  <c r="M69" i="4"/>
  <c r="Q67" i="4"/>
  <c r="Q68" i="4" s="1"/>
  <c r="P66" i="3"/>
  <c r="J50" i="2"/>
  <c r="K50" i="2" s="1"/>
  <c r="I51" i="2" s="1"/>
  <c r="X69" i="8" l="1"/>
  <c r="Y69" i="8" s="1"/>
  <c r="I70" i="8"/>
  <c r="J70" i="8" s="1"/>
  <c r="K70" i="8" s="1"/>
  <c r="I85" i="6"/>
  <c r="J85" i="6" s="1"/>
  <c r="K85" i="6" s="1"/>
  <c r="I86" i="6" s="1"/>
  <c r="J86" i="6" s="1"/>
  <c r="K86" i="6" s="1"/>
  <c r="I87" i="6" s="1"/>
  <c r="J87" i="6" s="1"/>
  <c r="K87" i="6" s="1"/>
  <c r="I88" i="6" s="1"/>
  <c r="J88" i="6" s="1"/>
  <c r="K88" i="6" s="1"/>
  <c r="I89" i="6" s="1"/>
  <c r="J89" i="6" s="1"/>
  <c r="K89" i="6" s="1"/>
  <c r="I86" i="7"/>
  <c r="J86" i="7" s="1"/>
  <c r="K86" i="7" s="1"/>
  <c r="I87" i="7" s="1"/>
  <c r="J87" i="7" s="1"/>
  <c r="K87" i="7" s="1"/>
  <c r="I88" i="7" s="1"/>
  <c r="J88" i="7" s="1"/>
  <c r="K88" i="7" s="1"/>
  <c r="I89" i="7" s="1"/>
  <c r="J89" i="7" s="1"/>
  <c r="K89" i="7" s="1"/>
  <c r="I90" i="7" s="1"/>
  <c r="J90" i="7" s="1"/>
  <c r="K90" i="7" s="1"/>
  <c r="M70" i="4"/>
  <c r="Q69" i="4"/>
  <c r="P67" i="3"/>
  <c r="R50" i="2"/>
  <c r="S50" i="2" s="1"/>
  <c r="X70" i="8" l="1"/>
  <c r="Y70" i="8" s="1"/>
  <c r="I71" i="8"/>
  <c r="J71" i="8" s="1"/>
  <c r="K71" i="8"/>
  <c r="I90" i="6"/>
  <c r="J90" i="6" s="1"/>
  <c r="K90" i="6" s="1"/>
  <c r="I91" i="6" s="1"/>
  <c r="J91" i="6" s="1"/>
  <c r="K91" i="6" s="1"/>
  <c r="I92" i="6" s="1"/>
  <c r="J92" i="6" s="1"/>
  <c r="K92" i="6" s="1"/>
  <c r="I93" i="6" s="1"/>
  <c r="J93" i="6" s="1"/>
  <c r="K93" i="6" s="1"/>
  <c r="I91" i="7"/>
  <c r="J91" i="7" s="1"/>
  <c r="K91" i="7" s="1"/>
  <c r="I92" i="7" s="1"/>
  <c r="J92" i="7" s="1"/>
  <c r="K92" i="7" s="1"/>
  <c r="I93" i="7" s="1"/>
  <c r="J93" i="7" s="1"/>
  <c r="K93" i="7" s="1"/>
  <c r="I94" i="7" s="1"/>
  <c r="J94" i="7" s="1"/>
  <c r="K94" i="7" s="1"/>
  <c r="M71" i="4"/>
  <c r="Q70" i="4"/>
  <c r="P68" i="3"/>
  <c r="J51" i="2"/>
  <c r="K51" i="2" s="1"/>
  <c r="I52" i="2" s="1"/>
  <c r="I72" i="8" l="1"/>
  <c r="J72" i="8" s="1"/>
  <c r="K72" i="8" s="1"/>
  <c r="X71" i="8"/>
  <c r="Y71" i="8" s="1"/>
  <c r="I94" i="6"/>
  <c r="J94" i="6" s="1"/>
  <c r="K94" i="6" s="1"/>
  <c r="I95" i="6" s="1"/>
  <c r="J95" i="6" s="1"/>
  <c r="K95" i="6" s="1"/>
  <c r="I95" i="7"/>
  <c r="J95" i="7" s="1"/>
  <c r="K95" i="7" s="1"/>
  <c r="I96" i="7" s="1"/>
  <c r="J96" i="7" s="1"/>
  <c r="K96" i="7" s="1"/>
  <c r="Q71" i="4"/>
  <c r="M72" i="4"/>
  <c r="P69" i="3"/>
  <c r="P70" i="3"/>
  <c r="R51" i="2"/>
  <c r="S51" i="2" s="1"/>
  <c r="I73" i="8" l="1"/>
  <c r="J73" i="8" s="1"/>
  <c r="K73" i="8" s="1"/>
  <c r="X72" i="8"/>
  <c r="Y72" i="8" s="1"/>
  <c r="I96" i="6"/>
  <c r="J96" i="6" s="1"/>
  <c r="K96" i="6"/>
  <c r="I97" i="6" s="1"/>
  <c r="J97" i="6" s="1"/>
  <c r="K97" i="6" s="1"/>
  <c r="I98" i="6" s="1"/>
  <c r="J98" i="6" s="1"/>
  <c r="K98" i="6" s="1"/>
  <c r="I97" i="7"/>
  <c r="J97" i="7" s="1"/>
  <c r="K97" i="7" s="1"/>
  <c r="I98" i="7" s="1"/>
  <c r="J98" i="7" s="1"/>
  <c r="K98" i="7" s="1"/>
  <c r="I99" i="7" s="1"/>
  <c r="J99" i="7" s="1"/>
  <c r="K99" i="7" s="1"/>
  <c r="I100" i="7" s="1"/>
  <c r="J100" i="7" s="1"/>
  <c r="K100" i="7" s="1"/>
  <c r="I101" i="7" s="1"/>
  <c r="J101" i="7" s="1"/>
  <c r="K101" i="7" s="1"/>
  <c r="I102" i="7" s="1"/>
  <c r="J102" i="7" s="1"/>
  <c r="K102" i="7" s="1"/>
  <c r="I103" i="7" s="1"/>
  <c r="J103" i="7" s="1"/>
  <c r="K103" i="7" s="1"/>
  <c r="I104" i="7" s="1"/>
  <c r="J104" i="7" s="1"/>
  <c r="K104" i="7" s="1"/>
  <c r="I105" i="7" s="1"/>
  <c r="J105" i="7" s="1"/>
  <c r="K105" i="7" s="1"/>
  <c r="I106" i="7" s="1"/>
  <c r="J106" i="7" s="1"/>
  <c r="K106" i="7" s="1"/>
  <c r="I107" i="7" s="1"/>
  <c r="J107" i="7" s="1"/>
  <c r="K107" i="7" s="1"/>
  <c r="Q72" i="4"/>
  <c r="M73" i="4"/>
  <c r="P71" i="3"/>
  <c r="J52" i="2"/>
  <c r="K52" i="2" s="1"/>
  <c r="I53" i="2" s="1"/>
  <c r="X73" i="8" l="1"/>
  <c r="Y73" i="8" s="1"/>
  <c r="I74" i="8"/>
  <c r="J74" i="8" s="1"/>
  <c r="K74" i="8"/>
  <c r="I99" i="6"/>
  <c r="J99" i="6" s="1"/>
  <c r="K99" i="6"/>
  <c r="I108" i="7"/>
  <c r="J108" i="7" s="1"/>
  <c r="K108" i="7" s="1"/>
  <c r="M74" i="4"/>
  <c r="Q73" i="4"/>
  <c r="P72" i="3"/>
  <c r="R52" i="2"/>
  <c r="S52" i="2" s="1"/>
  <c r="I75" i="8" l="1"/>
  <c r="J75" i="8" s="1"/>
  <c r="K75" i="8" s="1"/>
  <c r="X74" i="8"/>
  <c r="Y74" i="8" s="1"/>
  <c r="I100" i="6"/>
  <c r="J100" i="6" s="1"/>
  <c r="K100" i="6" s="1"/>
  <c r="I101" i="6" s="1"/>
  <c r="J101" i="6" s="1"/>
  <c r="K101" i="6" s="1"/>
  <c r="I102" i="6" s="1"/>
  <c r="J102" i="6" s="1"/>
  <c r="K102" i="6" s="1"/>
  <c r="I103" i="6" s="1"/>
  <c r="J103" i="6" s="1"/>
  <c r="K103" i="6" s="1"/>
  <c r="I104" i="6" s="1"/>
  <c r="J104" i="6" s="1"/>
  <c r="K104" i="6" s="1"/>
  <c r="I109" i="7"/>
  <c r="J109" i="7" s="1"/>
  <c r="K109" i="7" s="1"/>
  <c r="Q74" i="4"/>
  <c r="M75" i="4"/>
  <c r="P73" i="3"/>
  <c r="J53" i="2"/>
  <c r="K53" i="2" s="1"/>
  <c r="I54" i="2" s="1"/>
  <c r="X75" i="8" l="1"/>
  <c r="Y75" i="8" s="1"/>
  <c r="I76" i="8"/>
  <c r="J76" i="8" s="1"/>
  <c r="K76" i="8" s="1"/>
  <c r="I105" i="6"/>
  <c r="J105" i="6" s="1"/>
  <c r="K105" i="6"/>
  <c r="I106" i="6" s="1"/>
  <c r="J106" i="6" s="1"/>
  <c r="K106" i="6" s="1"/>
  <c r="I110" i="7"/>
  <c r="J110" i="7" s="1"/>
  <c r="K110" i="7" s="1"/>
  <c r="I111" i="7" s="1"/>
  <c r="J111" i="7" s="1"/>
  <c r="K111" i="7" s="1"/>
  <c r="I112" i="7" s="1"/>
  <c r="J112" i="7" s="1"/>
  <c r="K112" i="7" s="1"/>
  <c r="M76" i="4"/>
  <c r="P74" i="3"/>
  <c r="R53" i="2"/>
  <c r="S53" i="2" s="1"/>
  <c r="I77" i="8" l="1"/>
  <c r="J77" i="8" s="1"/>
  <c r="K77" i="8" s="1"/>
  <c r="X76" i="8"/>
  <c r="Y76" i="8" s="1"/>
  <c r="I107" i="6"/>
  <c r="J107" i="6" s="1"/>
  <c r="K107" i="6" s="1"/>
  <c r="I113" i="7"/>
  <c r="J113" i="7" s="1"/>
  <c r="K113" i="7" s="1"/>
  <c r="I114" i="7" s="1"/>
  <c r="J114" i="7" s="1"/>
  <c r="K114" i="7" s="1"/>
  <c r="I115" i="7" s="1"/>
  <c r="J115" i="7" s="1"/>
  <c r="K115" i="7" s="1"/>
  <c r="M77" i="4"/>
  <c r="Q75" i="4"/>
  <c r="Q76" i="4" s="1"/>
  <c r="J54" i="2"/>
  <c r="K54" i="2" s="1"/>
  <c r="I55" i="2" s="1"/>
  <c r="I78" i="8" l="1"/>
  <c r="J78" i="8" s="1"/>
  <c r="K78" i="8" s="1"/>
  <c r="X77" i="8"/>
  <c r="Y77" i="8" s="1"/>
  <c r="I108" i="6"/>
  <c r="J108" i="6" s="1"/>
  <c r="K108" i="6" s="1"/>
  <c r="I109" i="6" s="1"/>
  <c r="J109" i="6" s="1"/>
  <c r="K109" i="6" s="1"/>
  <c r="I110" i="6" s="1"/>
  <c r="J110" i="6" s="1"/>
  <c r="K110" i="6" s="1"/>
  <c r="I111" i="6" s="1"/>
  <c r="J111" i="6" s="1"/>
  <c r="K111" i="6" s="1"/>
  <c r="I112" i="6" s="1"/>
  <c r="J112" i="6" s="1"/>
  <c r="K112" i="6" s="1"/>
  <c r="I113" i="6" s="1"/>
  <c r="J113" i="6" s="1"/>
  <c r="K113" i="6" s="1"/>
  <c r="I114" i="6" s="1"/>
  <c r="J114" i="6" s="1"/>
  <c r="K114" i="6" s="1"/>
  <c r="I116" i="7"/>
  <c r="J116" i="7" s="1"/>
  <c r="K116" i="7" s="1"/>
  <c r="M78" i="4"/>
  <c r="P75" i="3"/>
  <c r="R54" i="2"/>
  <c r="S54" i="2" s="1"/>
  <c r="X78" i="8" l="1"/>
  <c r="Y78" i="8" s="1"/>
  <c r="I79" i="8"/>
  <c r="J79" i="8" s="1"/>
  <c r="K79" i="8" s="1"/>
  <c r="I115" i="6"/>
  <c r="J115" i="6" s="1"/>
  <c r="K115" i="6"/>
  <c r="I117" i="7"/>
  <c r="J117" i="7" s="1"/>
  <c r="K117" i="7" s="1"/>
  <c r="M79" i="4"/>
  <c r="Q77" i="4"/>
  <c r="Q78" i="4" s="1"/>
  <c r="P76" i="3"/>
  <c r="P77" i="3" s="1"/>
  <c r="J55" i="2"/>
  <c r="K55" i="2" s="1"/>
  <c r="I56" i="2" s="1"/>
  <c r="X79" i="8" l="1"/>
  <c r="Y79" i="8" s="1"/>
  <c r="I80" i="8"/>
  <c r="J80" i="8" s="1"/>
  <c r="K80" i="8" s="1"/>
  <c r="I116" i="6"/>
  <c r="J116" i="6" s="1"/>
  <c r="K116" i="6" s="1"/>
  <c r="I118" i="7"/>
  <c r="J118" i="7" s="1"/>
  <c r="K118" i="7"/>
  <c r="I119" i="7" s="1"/>
  <c r="J119" i="7" s="1"/>
  <c r="K119" i="7" s="1"/>
  <c r="M80" i="4"/>
  <c r="Q79" i="4"/>
  <c r="P78" i="3"/>
  <c r="R55" i="2"/>
  <c r="S55" i="2" s="1"/>
  <c r="I81" i="8" l="1"/>
  <c r="J81" i="8" s="1"/>
  <c r="K81" i="8" s="1"/>
  <c r="X80" i="8"/>
  <c r="Y80" i="8" s="1"/>
  <c r="I117" i="6"/>
  <c r="J117" i="6" s="1"/>
  <c r="K117" i="6" s="1"/>
  <c r="I120" i="7"/>
  <c r="J120" i="7" s="1"/>
  <c r="K120" i="7" s="1"/>
  <c r="I121" i="7" s="1"/>
  <c r="J121" i="7" s="1"/>
  <c r="K121" i="7" s="1"/>
  <c r="I122" i="7" s="1"/>
  <c r="J122" i="7" s="1"/>
  <c r="K122" i="7" s="1"/>
  <c r="M81" i="4"/>
  <c r="Q80" i="4"/>
  <c r="P79" i="3"/>
  <c r="J56" i="2"/>
  <c r="K56" i="2" s="1"/>
  <c r="I57" i="2" s="1"/>
  <c r="I82" i="8" l="1"/>
  <c r="J82" i="8" s="1"/>
  <c r="K82" i="8" s="1"/>
  <c r="X81" i="8"/>
  <c r="Y81" i="8" s="1"/>
  <c r="I118" i="6"/>
  <c r="J118" i="6" s="1"/>
  <c r="K118" i="6"/>
  <c r="M82" i="4"/>
  <c r="Q81" i="4"/>
  <c r="P80" i="3"/>
  <c r="R56" i="2"/>
  <c r="S56" i="2" s="1"/>
  <c r="X82" i="8" l="1"/>
  <c r="Y82" i="8" s="1"/>
  <c r="I83" i="8"/>
  <c r="J83" i="8" s="1"/>
  <c r="K83" i="8" s="1"/>
  <c r="I119" i="6"/>
  <c r="J119" i="6" s="1"/>
  <c r="K119" i="6" s="1"/>
  <c r="I120" i="6" s="1"/>
  <c r="J120" i="6" s="1"/>
  <c r="K120" i="6" s="1"/>
  <c r="I121" i="6" s="1"/>
  <c r="J121" i="6" s="1"/>
  <c r="K121" i="6" s="1"/>
  <c r="I122" i="6" s="1"/>
  <c r="J122" i="6" s="1"/>
  <c r="K122" i="6" s="1"/>
  <c r="I123" i="6" s="1"/>
  <c r="J123" i="6" s="1"/>
  <c r="K123" i="6" s="1"/>
  <c r="I124" i="6" s="1"/>
  <c r="J124" i="6" s="1"/>
  <c r="K124" i="6" s="1"/>
  <c r="M83" i="4"/>
  <c r="Q82" i="4"/>
  <c r="P81" i="3"/>
  <c r="J57" i="2"/>
  <c r="K57" i="2" s="1"/>
  <c r="I58" i="2" s="1"/>
  <c r="I84" i="8" l="1"/>
  <c r="J84" i="8" s="1"/>
  <c r="K84" i="8" s="1"/>
  <c r="X83" i="8"/>
  <c r="Y83" i="8" s="1"/>
  <c r="I125" i="6"/>
  <c r="J125" i="6" s="1"/>
  <c r="K125" i="6"/>
  <c r="M84" i="4"/>
  <c r="Q83" i="4"/>
  <c r="P82" i="3"/>
  <c r="R57" i="2"/>
  <c r="S57" i="2" s="1"/>
  <c r="X84" i="8" l="1"/>
  <c r="Y84" i="8" s="1"/>
  <c r="I85" i="8"/>
  <c r="J85" i="8" s="1"/>
  <c r="K85" i="8"/>
  <c r="I126" i="6"/>
  <c r="J126" i="6" s="1"/>
  <c r="K126" i="6"/>
  <c r="I127" i="6" s="1"/>
  <c r="J127" i="6" s="1"/>
  <c r="K127" i="6" s="1"/>
  <c r="M85" i="4"/>
  <c r="Q84" i="4"/>
  <c r="P83" i="3"/>
  <c r="J58" i="2"/>
  <c r="K58" i="2" s="1"/>
  <c r="I59" i="2" s="1"/>
  <c r="X85" i="8" l="1"/>
  <c r="Y85" i="8" s="1"/>
  <c r="I86" i="8"/>
  <c r="J86" i="8" s="1"/>
  <c r="K86" i="8" s="1"/>
  <c r="I128" i="6"/>
  <c r="J128" i="6" s="1"/>
  <c r="K128" i="6" s="1"/>
  <c r="I129" i="6" s="1"/>
  <c r="J129" i="6" s="1"/>
  <c r="K129" i="6" s="1"/>
  <c r="I130" i="6" s="1"/>
  <c r="J130" i="6" s="1"/>
  <c r="K130" i="6" s="1"/>
  <c r="I131" i="6" s="1"/>
  <c r="J131" i="6" s="1"/>
  <c r="K131" i="6" s="1"/>
  <c r="I132" i="6" s="1"/>
  <c r="J132" i="6" s="1"/>
  <c r="K132" i="6" s="1"/>
  <c r="Q85" i="4"/>
  <c r="M86" i="4"/>
  <c r="P84" i="3"/>
  <c r="R58" i="2"/>
  <c r="S58" i="2" s="1"/>
  <c r="I87" i="8" l="1"/>
  <c r="J87" i="8" s="1"/>
  <c r="K87" i="8" s="1"/>
  <c r="X86" i="8"/>
  <c r="Y86" i="8" s="1"/>
  <c r="I133" i="6"/>
  <c r="J133" i="6" s="1"/>
  <c r="K133" i="6" s="1"/>
  <c r="I134" i="6" s="1"/>
  <c r="J134" i="6" s="1"/>
  <c r="K134" i="6" s="1"/>
  <c r="I135" i="6" s="1"/>
  <c r="J135" i="6" s="1"/>
  <c r="K135" i="6" s="1"/>
  <c r="M87" i="4"/>
  <c r="Q86" i="4"/>
  <c r="P85" i="3"/>
  <c r="J59" i="2"/>
  <c r="K59" i="2" s="1"/>
  <c r="I60" i="2" s="1"/>
  <c r="I88" i="8" l="1"/>
  <c r="J88" i="8" s="1"/>
  <c r="K88" i="8" s="1"/>
  <c r="X87" i="8"/>
  <c r="Y87" i="8" s="1"/>
  <c r="I136" i="6"/>
  <c r="J136" i="6" s="1"/>
  <c r="K136" i="6"/>
  <c r="M88" i="4"/>
  <c r="P86" i="3"/>
  <c r="R59" i="2"/>
  <c r="S59" i="2" s="1"/>
  <c r="I89" i="8" l="1"/>
  <c r="J89" i="8" s="1"/>
  <c r="K89" i="8" s="1"/>
  <c r="X88" i="8"/>
  <c r="Y88" i="8" s="1"/>
  <c r="I137" i="6"/>
  <c r="J137" i="6" s="1"/>
  <c r="K137" i="6"/>
  <c r="I138" i="6" s="1"/>
  <c r="J138" i="6" s="1"/>
  <c r="K138" i="6" s="1"/>
  <c r="I139" i="6" s="1"/>
  <c r="J139" i="6" s="1"/>
  <c r="K139" i="6" s="1"/>
  <c r="I140" i="6" s="1"/>
  <c r="J140" i="6" s="1"/>
  <c r="K140" i="6" s="1"/>
  <c r="I141" i="6" s="1"/>
  <c r="J141" i="6" s="1"/>
  <c r="K141" i="6" s="1"/>
  <c r="I142" i="6" s="1"/>
  <c r="J142" i="6" s="1"/>
  <c r="K142" i="6" s="1"/>
  <c r="M89" i="4"/>
  <c r="Q87" i="4"/>
  <c r="Q88" i="4" s="1"/>
  <c r="J60" i="2"/>
  <c r="K60" i="2" s="1"/>
  <c r="I61" i="2" s="1"/>
  <c r="I90" i="8" l="1"/>
  <c r="J90" i="8" s="1"/>
  <c r="K90" i="8" s="1"/>
  <c r="X89" i="8"/>
  <c r="Y89" i="8" s="1"/>
  <c r="I143" i="6"/>
  <c r="J143" i="6" s="1"/>
  <c r="K143" i="6"/>
  <c r="I144" i="6" s="1"/>
  <c r="J144" i="6" s="1"/>
  <c r="K144" i="6" s="1"/>
  <c r="M90" i="4"/>
  <c r="P87" i="3"/>
  <c r="R60" i="2"/>
  <c r="S60" i="2" s="1"/>
  <c r="I91" i="8" l="1"/>
  <c r="J91" i="8" s="1"/>
  <c r="K91" i="8" s="1"/>
  <c r="X90" i="8"/>
  <c r="Y90" i="8" s="1"/>
  <c r="I145" i="6"/>
  <c r="J145" i="6" s="1"/>
  <c r="K145" i="6"/>
  <c r="I146" i="6" s="1"/>
  <c r="J146" i="6" s="1"/>
  <c r="K146" i="6" s="1"/>
  <c r="M91" i="4"/>
  <c r="Q89" i="4"/>
  <c r="Q90" i="4" s="1"/>
  <c r="P88" i="3"/>
  <c r="J61" i="2"/>
  <c r="K61" i="2" s="1"/>
  <c r="I62" i="2" s="1"/>
  <c r="I92" i="8" l="1"/>
  <c r="J92" i="8" s="1"/>
  <c r="K92" i="8" s="1"/>
  <c r="X91" i="8"/>
  <c r="Y91" i="8" s="1"/>
  <c r="I147" i="6"/>
  <c r="J147" i="6" s="1"/>
  <c r="K147" i="6" s="1"/>
  <c r="I148" i="6" s="1"/>
  <c r="J148" i="6" s="1"/>
  <c r="K148" i="6" s="1"/>
  <c r="I149" i="6" s="1"/>
  <c r="J149" i="6" s="1"/>
  <c r="K149" i="6" s="1"/>
  <c r="M92" i="4"/>
  <c r="Q91" i="4"/>
  <c r="P89" i="3"/>
  <c r="R61" i="2"/>
  <c r="S61" i="2" s="1"/>
  <c r="X92" i="8" l="1"/>
  <c r="Y92" i="8" s="1"/>
  <c r="I93" i="8"/>
  <c r="J93" i="8" s="1"/>
  <c r="K93" i="8" s="1"/>
  <c r="I150" i="6"/>
  <c r="J150" i="6" s="1"/>
  <c r="K150" i="6"/>
  <c r="I151" i="6" s="1"/>
  <c r="J151" i="6" s="1"/>
  <c r="K151" i="6" s="1"/>
  <c r="I152" i="6" s="1"/>
  <c r="J152" i="6" s="1"/>
  <c r="K152" i="6" s="1"/>
  <c r="I153" i="6" s="1"/>
  <c r="J153" i="6" s="1"/>
  <c r="K153" i="6" s="1"/>
  <c r="I154" i="6" s="1"/>
  <c r="J154" i="6" s="1"/>
  <c r="K154" i="6" s="1"/>
  <c r="I155" i="6" s="1"/>
  <c r="J155" i="6" s="1"/>
  <c r="K155" i="6" s="1"/>
  <c r="M93" i="4"/>
  <c r="Q92" i="4"/>
  <c r="P90" i="3"/>
  <c r="P91" i="3" s="1"/>
  <c r="J62" i="2"/>
  <c r="K62" i="2" s="1"/>
  <c r="X93" i="8" l="1"/>
  <c r="Y93" i="8" s="1"/>
  <c r="I94" i="8"/>
  <c r="J94" i="8" s="1"/>
  <c r="K94" i="8" s="1"/>
  <c r="I156" i="6"/>
  <c r="J156" i="6" s="1"/>
  <c r="K156" i="6"/>
  <c r="I157" i="6" s="1"/>
  <c r="J157" i="6" s="1"/>
  <c r="K157" i="6" s="1"/>
  <c r="I158" i="6" s="1"/>
  <c r="J158" i="6" s="1"/>
  <c r="K158" i="6" s="1"/>
  <c r="Q93" i="4"/>
  <c r="M94" i="4"/>
  <c r="P92" i="3"/>
  <c r="C29" i="2"/>
  <c r="C30" i="2"/>
  <c r="M62" i="2" s="1"/>
  <c r="M63" i="2" s="1"/>
  <c r="R62" i="2"/>
  <c r="S62" i="2" s="1"/>
  <c r="X94" i="8" l="1"/>
  <c r="Y94" i="8" s="1"/>
  <c r="I95" i="8"/>
  <c r="J95" i="8" s="1"/>
  <c r="K95" i="8" s="1"/>
  <c r="I159" i="6"/>
  <c r="J159" i="6" s="1"/>
  <c r="K159" i="6"/>
  <c r="I160" i="6" s="1"/>
  <c r="J160" i="6" s="1"/>
  <c r="K160" i="6" s="1"/>
  <c r="I161" i="6" s="1"/>
  <c r="J161" i="6" s="1"/>
  <c r="K161" i="6" s="1"/>
  <c r="I162" i="6" s="1"/>
  <c r="J162" i="6" s="1"/>
  <c r="K162" i="6" s="1"/>
  <c r="I163" i="6" s="1"/>
  <c r="J163" i="6" s="1"/>
  <c r="K163" i="6" s="1"/>
  <c r="I164" i="6" s="1"/>
  <c r="J164" i="6" s="1"/>
  <c r="K164" i="6" s="1"/>
  <c r="M95" i="4"/>
  <c r="Q94" i="4"/>
  <c r="M64" i="2"/>
  <c r="O63" i="2"/>
  <c r="P93" i="3"/>
  <c r="I96" i="8" l="1"/>
  <c r="J96" i="8" s="1"/>
  <c r="K96" i="8" s="1"/>
  <c r="X95" i="8"/>
  <c r="Y95" i="8" s="1"/>
  <c r="I165" i="6"/>
  <c r="J165" i="6" s="1"/>
  <c r="K165" i="6"/>
  <c r="I166" i="6" s="1"/>
  <c r="J166" i="6" s="1"/>
  <c r="K166" i="6" s="1"/>
  <c r="M96" i="4"/>
  <c r="Q95" i="4"/>
  <c r="P63" i="2"/>
  <c r="M65" i="2"/>
  <c r="O64" i="2"/>
  <c r="P94" i="3"/>
  <c r="I97" i="8" l="1"/>
  <c r="J97" i="8" s="1"/>
  <c r="K97" i="8" s="1"/>
  <c r="X96" i="8"/>
  <c r="Y96" i="8" s="1"/>
  <c r="I167" i="6"/>
  <c r="J167" i="6" s="1"/>
  <c r="K167" i="6"/>
  <c r="I168" i="6" s="1"/>
  <c r="J168" i="6" s="1"/>
  <c r="K168" i="6" s="1"/>
  <c r="I169" i="6" s="1"/>
  <c r="J169" i="6" s="1"/>
  <c r="K169" i="6" s="1"/>
  <c r="I170" i="6" s="1"/>
  <c r="J170" i="6" s="1"/>
  <c r="K170" i="6" s="1"/>
  <c r="I171" i="6" s="1"/>
  <c r="J171" i="6" s="1"/>
  <c r="K171" i="6" s="1"/>
  <c r="Q96" i="4"/>
  <c r="M97" i="4"/>
  <c r="M66" i="2"/>
  <c r="O65" i="2"/>
  <c r="P64" i="2"/>
  <c r="P65" i="2" s="1"/>
  <c r="P95" i="3"/>
  <c r="X97" i="8" l="1"/>
  <c r="Y97" i="8" s="1"/>
  <c r="I98" i="8"/>
  <c r="J98" i="8" s="1"/>
  <c r="K98" i="8"/>
  <c r="I172" i="6"/>
  <c r="J172" i="6" s="1"/>
  <c r="K172" i="6"/>
  <c r="I173" i="6" s="1"/>
  <c r="J173" i="6" s="1"/>
  <c r="K173" i="6" s="1"/>
  <c r="I174" i="6" s="1"/>
  <c r="J174" i="6" s="1"/>
  <c r="K174" i="6" s="1"/>
  <c r="I175" i="6" s="1"/>
  <c r="J175" i="6" s="1"/>
  <c r="K175" i="6" s="1"/>
  <c r="I176" i="6" s="1"/>
  <c r="J176" i="6" s="1"/>
  <c r="K176" i="6" s="1"/>
  <c r="I177" i="6" s="1"/>
  <c r="J177" i="6" s="1"/>
  <c r="K177" i="6" s="1"/>
  <c r="I178" i="6" s="1"/>
  <c r="J178" i="6" s="1"/>
  <c r="K178" i="6" s="1"/>
  <c r="I179" i="6" s="1"/>
  <c r="J179" i="6" s="1"/>
  <c r="K179" i="6" s="1"/>
  <c r="M98" i="4"/>
  <c r="Q97" i="4"/>
  <c r="M67" i="2"/>
  <c r="O66" i="2"/>
  <c r="P66" i="2" s="1"/>
  <c r="P96" i="3"/>
  <c r="I99" i="8" l="1"/>
  <c r="J99" i="8" s="1"/>
  <c r="K99" i="8" s="1"/>
  <c r="X98" i="8"/>
  <c r="Y98" i="8" s="1"/>
  <c r="I180" i="6"/>
  <c r="J180" i="6" s="1"/>
  <c r="K180" i="6"/>
  <c r="Q98" i="4"/>
  <c r="M99" i="4"/>
  <c r="M68" i="2"/>
  <c r="O67" i="2"/>
  <c r="P67" i="2" s="1"/>
  <c r="P97" i="3"/>
  <c r="I100" i="8" l="1"/>
  <c r="J100" i="8" s="1"/>
  <c r="K100" i="8" s="1"/>
  <c r="X99" i="8"/>
  <c r="Y99" i="8" s="1"/>
  <c r="I181" i="6"/>
  <c r="J181" i="6" s="1"/>
  <c r="K181" i="6"/>
  <c r="I182" i="6" s="1"/>
  <c r="J182" i="6" s="1"/>
  <c r="K182" i="6" s="1"/>
  <c r="I183" i="6" s="1"/>
  <c r="J183" i="6" s="1"/>
  <c r="K183" i="6" s="1"/>
  <c r="M100" i="4"/>
  <c r="M69" i="2"/>
  <c r="O68" i="2"/>
  <c r="P68" i="2" s="1"/>
  <c r="P98" i="3"/>
  <c r="I101" i="8" l="1"/>
  <c r="J101" i="8" s="1"/>
  <c r="K101" i="8" s="1"/>
  <c r="X100" i="8"/>
  <c r="Y100" i="8" s="1"/>
  <c r="I184" i="6"/>
  <c r="J184" i="6" s="1"/>
  <c r="K184" i="6" s="1"/>
  <c r="M101" i="4"/>
  <c r="Q99" i="4"/>
  <c r="Q100" i="4" s="1"/>
  <c r="M70" i="2"/>
  <c r="O69" i="2"/>
  <c r="P69" i="2" s="1"/>
  <c r="P99" i="3"/>
  <c r="I102" i="8" l="1"/>
  <c r="J102" i="8" s="1"/>
  <c r="K102" i="8" s="1"/>
  <c r="X101" i="8"/>
  <c r="Y101" i="8" s="1"/>
  <c r="I185" i="6"/>
  <c r="J185" i="6" s="1"/>
  <c r="K185" i="6" s="1"/>
  <c r="I186" i="6" s="1"/>
  <c r="J186" i="6" s="1"/>
  <c r="K186" i="6" s="1"/>
  <c r="M102" i="4"/>
  <c r="M71" i="2"/>
  <c r="O70" i="2"/>
  <c r="P70" i="2" s="1"/>
  <c r="P100" i="3"/>
  <c r="I103" i="8" l="1"/>
  <c r="J103" i="8" s="1"/>
  <c r="K103" i="8" s="1"/>
  <c r="X102" i="8"/>
  <c r="Y102" i="8" s="1"/>
  <c r="I187" i="6"/>
  <c r="J187" i="6" s="1"/>
  <c r="K187" i="6"/>
  <c r="I188" i="6" s="1"/>
  <c r="J188" i="6" s="1"/>
  <c r="K188" i="6" s="1"/>
  <c r="I189" i="6" s="1"/>
  <c r="J189" i="6" s="1"/>
  <c r="K189" i="6" s="1"/>
  <c r="I190" i="6" s="1"/>
  <c r="J190" i="6" s="1"/>
  <c r="K190" i="6" s="1"/>
  <c r="M103" i="4"/>
  <c r="Q101" i="4"/>
  <c r="M72" i="2"/>
  <c r="O71" i="2"/>
  <c r="P71" i="2" s="1"/>
  <c r="P101" i="3"/>
  <c r="P102" i="3" s="1"/>
  <c r="I104" i="8" l="1"/>
  <c r="J104" i="8" s="1"/>
  <c r="K104" i="8" s="1"/>
  <c r="X103" i="8"/>
  <c r="Y103" i="8" s="1"/>
  <c r="I191" i="6"/>
  <c r="J191" i="6" s="1"/>
  <c r="K191" i="6"/>
  <c r="I192" i="6" s="1"/>
  <c r="J192" i="6" s="1"/>
  <c r="K192" i="6" s="1"/>
  <c r="I193" i="6" s="1"/>
  <c r="J193" i="6" s="1"/>
  <c r="K193" i="6" s="1"/>
  <c r="Q102" i="4"/>
  <c r="M104" i="4"/>
  <c r="M73" i="2"/>
  <c r="O72" i="2"/>
  <c r="P72" i="2" s="1"/>
  <c r="P103" i="3"/>
  <c r="X104" i="8" l="1"/>
  <c r="Y104" i="8" s="1"/>
  <c r="I105" i="8"/>
  <c r="J105" i="8" s="1"/>
  <c r="K105" i="8"/>
  <c r="I194" i="6"/>
  <c r="J194" i="6" s="1"/>
  <c r="K194" i="6" s="1"/>
  <c r="I195" i="6" s="1"/>
  <c r="J195" i="6" s="1"/>
  <c r="K195" i="6" s="1"/>
  <c r="M105" i="4"/>
  <c r="Q103" i="4"/>
  <c r="M74" i="2"/>
  <c r="O73" i="2"/>
  <c r="P73" i="2" s="1"/>
  <c r="P104" i="3"/>
  <c r="I106" i="8" l="1"/>
  <c r="J106" i="8" s="1"/>
  <c r="K106" i="8" s="1"/>
  <c r="X105" i="8"/>
  <c r="Y105" i="8" s="1"/>
  <c r="I196" i="6"/>
  <c r="J196" i="6" s="1"/>
  <c r="K196" i="6"/>
  <c r="I197" i="6" s="1"/>
  <c r="J197" i="6" s="1"/>
  <c r="K197" i="6" s="1"/>
  <c r="I198" i="6" s="1"/>
  <c r="J198" i="6" s="1"/>
  <c r="K198" i="6" s="1"/>
  <c r="I199" i="6" s="1"/>
  <c r="J199" i="6" s="1"/>
  <c r="K199" i="6" s="1"/>
  <c r="I200" i="6" s="1"/>
  <c r="J200" i="6" s="1"/>
  <c r="K200" i="6" s="1"/>
  <c r="Q104" i="4"/>
  <c r="M106" i="4"/>
  <c r="M75" i="2"/>
  <c r="O74" i="2"/>
  <c r="P74" i="2" s="1"/>
  <c r="P105" i="3"/>
  <c r="X106" i="8" l="1"/>
  <c r="Y106" i="8" s="1"/>
  <c r="I107" i="8"/>
  <c r="J107" i="8" s="1"/>
  <c r="K107" i="8"/>
  <c r="I201" i="6"/>
  <c r="J201" i="6" s="1"/>
  <c r="K201" i="6" s="1"/>
  <c r="I202" i="6" s="1"/>
  <c r="J202" i="6" s="1"/>
  <c r="K202" i="6" s="1"/>
  <c r="M107" i="4"/>
  <c r="Q105" i="4"/>
  <c r="Q106" i="4" s="1"/>
  <c r="M76" i="2"/>
  <c r="O75" i="2"/>
  <c r="P75" i="2" s="1"/>
  <c r="P106" i="3"/>
  <c r="I108" i="8" l="1"/>
  <c r="J108" i="8" s="1"/>
  <c r="K108" i="8" s="1"/>
  <c r="X107" i="8"/>
  <c r="Y107" i="8" s="1"/>
  <c r="I203" i="6"/>
  <c r="J203" i="6" s="1"/>
  <c r="K203" i="6"/>
  <c r="I204" i="6" s="1"/>
  <c r="J204" i="6" s="1"/>
  <c r="K204" i="6" s="1"/>
  <c r="I205" i="6" s="1"/>
  <c r="J205" i="6" s="1"/>
  <c r="K205" i="6" s="1"/>
  <c r="Q107" i="4"/>
  <c r="M108" i="4"/>
  <c r="M77" i="2"/>
  <c r="O76" i="2"/>
  <c r="P76" i="2" s="1"/>
  <c r="P107" i="3"/>
  <c r="I109" i="8" l="1"/>
  <c r="J109" i="8" s="1"/>
  <c r="K109" i="8" s="1"/>
  <c r="X108" i="8"/>
  <c r="Y108" i="8" s="1"/>
  <c r="I206" i="6"/>
  <c r="J206" i="6" s="1"/>
  <c r="K206" i="6" s="1"/>
  <c r="Q108" i="4"/>
  <c r="M109" i="4"/>
  <c r="M78" i="2"/>
  <c r="O77" i="2"/>
  <c r="P108" i="3"/>
  <c r="I110" i="8" l="1"/>
  <c r="J110" i="8" s="1"/>
  <c r="K110" i="8" s="1"/>
  <c r="X109" i="8"/>
  <c r="Y109" i="8" s="1"/>
  <c r="I207" i="6"/>
  <c r="J207" i="6" s="1"/>
  <c r="K207" i="6" s="1"/>
  <c r="I208" i="6" s="1"/>
  <c r="J208" i="6" s="1"/>
  <c r="K208" i="6" s="1"/>
  <c r="I209" i="6" s="1"/>
  <c r="J209" i="6" s="1"/>
  <c r="K209" i="6" s="1"/>
  <c r="I210" i="6" s="1"/>
  <c r="J210" i="6" s="1"/>
  <c r="K210" i="6" s="1"/>
  <c r="I211" i="6" s="1"/>
  <c r="J211" i="6" s="1"/>
  <c r="K211" i="6" s="1"/>
  <c r="I212" i="6" s="1"/>
  <c r="J212" i="6" s="1"/>
  <c r="K212" i="6" s="1"/>
  <c r="I213" i="6" s="1"/>
  <c r="J213" i="6" s="1"/>
  <c r="K213" i="6" s="1"/>
  <c r="I214" i="6" s="1"/>
  <c r="J214" i="6" s="1"/>
  <c r="K214" i="6" s="1"/>
  <c r="I215" i="6" s="1"/>
  <c r="J215" i="6" s="1"/>
  <c r="K215" i="6" s="1"/>
  <c r="Q109" i="4"/>
  <c r="M110" i="4"/>
  <c r="M79" i="2"/>
  <c r="O78" i="2"/>
  <c r="P77" i="2"/>
  <c r="P109" i="3"/>
  <c r="I111" i="8" l="1"/>
  <c r="J111" i="8" s="1"/>
  <c r="K111" i="8" s="1"/>
  <c r="X110" i="8"/>
  <c r="Y110" i="8" s="1"/>
  <c r="I216" i="6"/>
  <c r="J216" i="6" s="1"/>
  <c r="K216" i="6" s="1"/>
  <c r="I217" i="6" s="1"/>
  <c r="J217" i="6" s="1"/>
  <c r="K217" i="6" s="1"/>
  <c r="I218" i="6" s="1"/>
  <c r="J218" i="6" s="1"/>
  <c r="K218" i="6" s="1"/>
  <c r="I219" i="6" s="1"/>
  <c r="J219" i="6" s="1"/>
  <c r="K219" i="6" s="1"/>
  <c r="I220" i="6" s="1"/>
  <c r="J220" i="6" s="1"/>
  <c r="K220" i="6" s="1"/>
  <c r="I221" i="6" s="1"/>
  <c r="J221" i="6" s="1"/>
  <c r="K221" i="6" s="1"/>
  <c r="I222" i="6" s="1"/>
  <c r="J222" i="6" s="1"/>
  <c r="K222" i="6" s="1"/>
  <c r="M111" i="4"/>
  <c r="Q110" i="4"/>
  <c r="P78" i="2"/>
  <c r="M80" i="2"/>
  <c r="O79" i="2"/>
  <c r="P110" i="3"/>
  <c r="I112" i="8" l="1"/>
  <c r="J112" i="8" s="1"/>
  <c r="K112" i="8" s="1"/>
  <c r="X111" i="8"/>
  <c r="Y111" i="8" s="1"/>
  <c r="I223" i="6"/>
  <c r="J223" i="6" s="1"/>
  <c r="K223" i="6" s="1"/>
  <c r="I224" i="6" s="1"/>
  <c r="J224" i="6" s="1"/>
  <c r="K224" i="6" s="1"/>
  <c r="M112" i="4"/>
  <c r="M81" i="2"/>
  <c r="O80" i="2"/>
  <c r="P79" i="2"/>
  <c r="P80" i="2" s="1"/>
  <c r="P111" i="3"/>
  <c r="P112" i="3" s="1"/>
  <c r="I113" i="8" l="1"/>
  <c r="J113" i="8" s="1"/>
  <c r="K113" i="8" s="1"/>
  <c r="X112" i="8"/>
  <c r="Y112" i="8" s="1"/>
  <c r="I225" i="6"/>
  <c r="J225" i="6" s="1"/>
  <c r="K225" i="6" s="1"/>
  <c r="I226" i="6" s="1"/>
  <c r="J226" i="6" s="1"/>
  <c r="K226" i="6" s="1"/>
  <c r="I227" i="6" s="1"/>
  <c r="J227" i="6" s="1"/>
  <c r="K227" i="6" s="1"/>
  <c r="I228" i="6" s="1"/>
  <c r="J228" i="6" s="1"/>
  <c r="K228" i="6" s="1"/>
  <c r="I229" i="6" s="1"/>
  <c r="J229" i="6" s="1"/>
  <c r="K229" i="6" s="1"/>
  <c r="I230" i="6" s="1"/>
  <c r="J230" i="6" s="1"/>
  <c r="K230" i="6" s="1"/>
  <c r="I231" i="6" s="1"/>
  <c r="J231" i="6" s="1"/>
  <c r="K231" i="6" s="1"/>
  <c r="I232" i="6" s="1"/>
  <c r="J232" i="6" s="1"/>
  <c r="K232" i="6" s="1"/>
  <c r="M113" i="4"/>
  <c r="Q111" i="4"/>
  <c r="Q112" i="4" s="1"/>
  <c r="M82" i="2"/>
  <c r="O81" i="2"/>
  <c r="P81" i="2" s="1"/>
  <c r="P113" i="3"/>
  <c r="P114" i="3" s="1"/>
  <c r="X113" i="8" l="1"/>
  <c r="Y113" i="8" s="1"/>
  <c r="I114" i="8"/>
  <c r="J114" i="8" s="1"/>
  <c r="K114" i="8" s="1"/>
  <c r="I233" i="6"/>
  <c r="J233" i="6" s="1"/>
  <c r="K233" i="6"/>
  <c r="I234" i="6" s="1"/>
  <c r="J234" i="6" s="1"/>
  <c r="K234" i="6" s="1"/>
  <c r="I235" i="6" s="1"/>
  <c r="J235" i="6" s="1"/>
  <c r="K235" i="6" s="1"/>
  <c r="I236" i="6" s="1"/>
  <c r="J236" i="6" s="1"/>
  <c r="K236" i="6" s="1"/>
  <c r="M114" i="4"/>
  <c r="M83" i="2"/>
  <c r="O82" i="2"/>
  <c r="P82" i="2" s="1"/>
  <c r="P115" i="3"/>
  <c r="X114" i="8" l="1"/>
  <c r="Y114" i="8" s="1"/>
  <c r="I115" i="8"/>
  <c r="J115" i="8" s="1"/>
  <c r="K115" i="8"/>
  <c r="I237" i="6"/>
  <c r="J237" i="6" s="1"/>
  <c r="K237" i="6" s="1"/>
  <c r="M115" i="4"/>
  <c r="Q113" i="4"/>
  <c r="Q114" i="4" s="1"/>
  <c r="M84" i="2"/>
  <c r="O83" i="2"/>
  <c r="P83" i="2" s="1"/>
  <c r="P116" i="3"/>
  <c r="I116" i="8" l="1"/>
  <c r="J116" i="8" s="1"/>
  <c r="K116" i="8" s="1"/>
  <c r="X115" i="8"/>
  <c r="Y115" i="8" s="1"/>
  <c r="I238" i="6"/>
  <c r="J238" i="6" s="1"/>
  <c r="K238" i="6"/>
  <c r="Q115" i="4"/>
  <c r="M116" i="4"/>
  <c r="M85" i="2"/>
  <c r="O84" i="2"/>
  <c r="P84" i="2" s="1"/>
  <c r="P117" i="3"/>
  <c r="I117" i="8" l="1"/>
  <c r="J117" i="8" s="1"/>
  <c r="K117" i="8" s="1"/>
  <c r="X116" i="8"/>
  <c r="Y116" i="8" s="1"/>
  <c r="I239" i="6"/>
  <c r="J239" i="6" s="1"/>
  <c r="K239" i="6" s="1"/>
  <c r="M117" i="4"/>
  <c r="Q116" i="4"/>
  <c r="M86" i="2"/>
  <c r="O85" i="2"/>
  <c r="P85" i="2" s="1"/>
  <c r="P118" i="3"/>
  <c r="X117" i="8" l="1"/>
  <c r="Y117" i="8" s="1"/>
  <c r="I118" i="8"/>
  <c r="J118" i="8" s="1"/>
  <c r="K118" i="8"/>
  <c r="I240" i="6"/>
  <c r="J240" i="6" s="1"/>
  <c r="K240" i="6" s="1"/>
  <c r="M118" i="4"/>
  <c r="Q117" i="4"/>
  <c r="M87" i="2"/>
  <c r="O86" i="2"/>
  <c r="P86" i="2" s="1"/>
  <c r="P119" i="3"/>
  <c r="I119" i="8" l="1"/>
  <c r="J119" i="8" s="1"/>
  <c r="K119" i="8" s="1"/>
  <c r="X118" i="8"/>
  <c r="Y118" i="8" s="1"/>
  <c r="I241" i="6"/>
  <c r="J241" i="6" s="1"/>
  <c r="K241" i="6" s="1"/>
  <c r="Q118" i="4"/>
  <c r="M119" i="4"/>
  <c r="M88" i="2"/>
  <c r="O87" i="2"/>
  <c r="P120" i="3"/>
  <c r="X119" i="8" l="1"/>
  <c r="Y119" i="8" s="1"/>
  <c r="I120" i="8"/>
  <c r="J120" i="8" s="1"/>
  <c r="K120" i="8"/>
  <c r="I242" i="6"/>
  <c r="M120" i="4"/>
  <c r="Q119" i="4"/>
  <c r="M89" i="2"/>
  <c r="O88" i="2"/>
  <c r="P87" i="2"/>
  <c r="P88" i="2" s="1"/>
  <c r="P121" i="3"/>
  <c r="I121" i="8" l="1"/>
  <c r="J121" i="8" s="1"/>
  <c r="K121" i="8" s="1"/>
  <c r="X120" i="8"/>
  <c r="Y120" i="8" s="1"/>
  <c r="J242" i="6"/>
  <c r="K242" i="6" s="1"/>
  <c r="C40" i="6"/>
  <c r="Q120" i="4"/>
  <c r="M121" i="4"/>
  <c r="M90" i="2"/>
  <c r="O89" i="2"/>
  <c r="G135" i="3"/>
  <c r="G136" i="3"/>
  <c r="G137" i="3"/>
  <c r="G138" i="3"/>
  <c r="G139" i="3"/>
  <c r="P122" i="3"/>
  <c r="I122" i="8" l="1"/>
  <c r="J122" i="8" s="1"/>
  <c r="K122" i="8" s="1"/>
  <c r="X122" i="8" s="1"/>
  <c r="Y122" i="8" s="1"/>
  <c r="X121" i="8"/>
  <c r="Y121" i="8" s="1"/>
  <c r="AB5" i="6"/>
  <c r="C43" i="6"/>
  <c r="M122" i="4"/>
  <c r="Q121" i="4"/>
  <c r="M91" i="2"/>
  <c r="O90" i="2"/>
  <c r="P89" i="2"/>
  <c r="P90" i="2" s="1"/>
  <c r="G126" i="3"/>
  <c r="AB8" i="6" l="1"/>
  <c r="C44" i="6"/>
  <c r="AB9" i="6" s="1"/>
  <c r="C48" i="6"/>
  <c r="Q122" i="4"/>
  <c r="G135" i="4"/>
  <c r="G136" i="4"/>
  <c r="G137" i="4"/>
  <c r="G138" i="4"/>
  <c r="G139" i="4"/>
  <c r="M92" i="2"/>
  <c r="O91" i="2"/>
  <c r="AB13" i="6" l="1"/>
  <c r="C49" i="6"/>
  <c r="AB14" i="6" s="1"/>
  <c r="G126" i="4"/>
  <c r="M93" i="2"/>
  <c r="O92" i="2"/>
  <c r="P91" i="2"/>
  <c r="P92" i="2" s="1"/>
  <c r="M94" i="2" l="1"/>
  <c r="O93" i="2"/>
  <c r="P93" i="2" s="1"/>
  <c r="M95" i="2" l="1"/>
  <c r="O94" i="2"/>
  <c r="P94" i="2" s="1"/>
  <c r="M96" i="2" l="1"/>
  <c r="O95" i="2"/>
  <c r="P95" i="2" s="1"/>
  <c r="M97" i="2" l="1"/>
  <c r="O96" i="2"/>
  <c r="P96" i="2" s="1"/>
  <c r="M98" i="2" l="1"/>
  <c r="O97" i="2"/>
  <c r="P97" i="2" s="1"/>
  <c r="M99" i="2" l="1"/>
  <c r="O98" i="2"/>
  <c r="P98" i="2" s="1"/>
  <c r="M100" i="2" l="1"/>
  <c r="O99" i="2"/>
  <c r="M101" i="2" l="1"/>
  <c r="O100" i="2"/>
  <c r="P99" i="2"/>
  <c r="P100" i="2" l="1"/>
  <c r="M102" i="2"/>
  <c r="O101" i="2"/>
  <c r="M103" i="2" l="1"/>
  <c r="O102" i="2"/>
  <c r="P101" i="2"/>
  <c r="P102" i="2" s="1"/>
  <c r="M104" i="2" l="1"/>
  <c r="O103" i="2"/>
  <c r="M105" i="2" l="1"/>
  <c r="O104" i="2"/>
  <c r="P103" i="2"/>
  <c r="P104" i="2" s="1"/>
  <c r="M106" i="2" l="1"/>
  <c r="O105" i="2"/>
  <c r="P105" i="2" s="1"/>
  <c r="M107" i="2" l="1"/>
  <c r="O106" i="2"/>
  <c r="P106" i="2" s="1"/>
  <c r="M108" i="2" l="1"/>
  <c r="O107" i="2"/>
  <c r="P107" i="2" s="1"/>
  <c r="M109" i="2" l="1"/>
  <c r="O108" i="2"/>
  <c r="P108" i="2" s="1"/>
  <c r="M110" i="2" l="1"/>
  <c r="O109" i="2"/>
  <c r="P109" i="2" s="1"/>
  <c r="M111" i="2" l="1"/>
  <c r="O110" i="2"/>
  <c r="P110" i="2" s="1"/>
  <c r="M112" i="2" l="1"/>
  <c r="O111" i="2"/>
  <c r="M113" i="2" l="1"/>
  <c r="O112" i="2"/>
  <c r="P111" i="2"/>
  <c r="P112" i="2" l="1"/>
  <c r="M114" i="2"/>
  <c r="O113" i="2"/>
  <c r="M115" i="2" l="1"/>
  <c r="O114" i="2"/>
  <c r="P113" i="2"/>
  <c r="P114" i="2" s="1"/>
  <c r="M116" i="2" l="1"/>
  <c r="O115" i="2"/>
  <c r="P115" i="2" s="1"/>
  <c r="M117" i="2" l="1"/>
  <c r="O116" i="2"/>
  <c r="P116" i="2" s="1"/>
  <c r="M118" i="2" l="1"/>
  <c r="O117" i="2"/>
  <c r="P117" i="2" s="1"/>
  <c r="M119" i="2" l="1"/>
  <c r="O118" i="2"/>
  <c r="P118" i="2" s="1"/>
  <c r="M120" i="2" l="1"/>
  <c r="O119" i="2"/>
  <c r="P119" i="2" s="1"/>
  <c r="M121" i="2" l="1"/>
  <c r="O120" i="2"/>
  <c r="P120" i="2" s="1"/>
  <c r="M122" i="2" l="1"/>
  <c r="O122" i="2" s="1"/>
  <c r="O121" i="2"/>
  <c r="P121" i="2" s="1"/>
  <c r="P122" i="2" s="1"/>
  <c r="G130" i="2" l="1"/>
  <c r="G131" i="2"/>
  <c r="G132" i="2"/>
  <c r="G133" i="2"/>
  <c r="G134" i="2"/>
  <c r="G135" i="2"/>
  <c r="G136" i="2"/>
  <c r="G137" i="2"/>
  <c r="G138" i="2"/>
  <c r="G139" i="2"/>
  <c r="G126" i="2" l="1"/>
</calcChain>
</file>

<file path=xl/sharedStrings.xml><?xml version="1.0" encoding="utf-8"?>
<sst xmlns="http://schemas.openxmlformats.org/spreadsheetml/2006/main" count="379" uniqueCount="70">
  <si>
    <t>year</t>
  </si>
  <si>
    <t>net</t>
  </si>
  <si>
    <t>Rendement</t>
  </si>
  <si>
    <t>Loyer</t>
  </si>
  <si>
    <t>payment</t>
  </si>
  <si>
    <t>interest</t>
  </si>
  <si>
    <t>principal</t>
  </si>
  <si>
    <t>Taux crédit</t>
  </si>
  <si>
    <t>Durée</t>
  </si>
  <si>
    <t>Prix achat</t>
  </si>
  <si>
    <t>Frais notaire</t>
  </si>
  <si>
    <t>Frais agence</t>
  </si>
  <si>
    <t>Travaux</t>
  </si>
  <si>
    <t>Frais annexes</t>
  </si>
  <si>
    <t>Total</t>
  </si>
  <si>
    <t>Apport</t>
  </si>
  <si>
    <t>Montant crédit</t>
  </si>
  <si>
    <t>month</t>
  </si>
  <si>
    <t>cashflow</t>
  </si>
  <si>
    <t>cumulative_cash</t>
  </si>
  <si>
    <t>property_value</t>
  </si>
  <si>
    <t>outstanding_balance</t>
  </si>
  <si>
    <t>net_worth</t>
  </si>
  <si>
    <t>taxe foncière</t>
  </si>
  <si>
    <t>autres taxes</t>
  </si>
  <si>
    <t>assurance</t>
  </si>
  <si>
    <t>charges copro</t>
  </si>
  <si>
    <t>évolution des charges</t>
  </si>
  <si>
    <t>entretien</t>
  </si>
  <si>
    <t>Evolution prix immo</t>
  </si>
  <si>
    <t>Frais de vente</t>
  </si>
  <si>
    <t>Inflation</t>
  </si>
  <si>
    <t>Mensualité</t>
  </si>
  <si>
    <t>balance mortgage</t>
  </si>
  <si>
    <t>Produit net de vente</t>
  </si>
  <si>
    <t>Années avant vente</t>
  </si>
  <si>
    <t>Années avant valuation</t>
  </si>
  <si>
    <t>IRA (remboursement anticipé)</t>
  </si>
  <si>
    <t>Evolution IF</t>
  </si>
  <si>
    <t>invested_value</t>
  </si>
  <si>
    <t>rent</t>
  </si>
  <si>
    <t>Tax on gains</t>
  </si>
  <si>
    <t>NPV</t>
  </si>
  <si>
    <t>VENTE</t>
  </si>
  <si>
    <t>invested_value_after_sale</t>
  </si>
  <si>
    <t>Rent</t>
  </si>
  <si>
    <t>Evolution rent</t>
  </si>
  <si>
    <t>Tax capital gains</t>
  </si>
  <si>
    <t>cashflows</t>
  </si>
  <si>
    <t>LOCATION</t>
  </si>
  <si>
    <t>rent_revenues</t>
  </si>
  <si>
    <t>Taux occupation</t>
  </si>
  <si>
    <t>Taxe loyer</t>
  </si>
  <si>
    <t>Frais de gestion (% du loyer)</t>
  </si>
  <si>
    <t>rent_avoided</t>
  </si>
  <si>
    <t>total charges Vente</t>
  </si>
  <si>
    <t>Couts totaux</t>
  </si>
  <si>
    <t>Notaire</t>
  </si>
  <si>
    <t>Intérêt</t>
  </si>
  <si>
    <t>Charges</t>
  </si>
  <si>
    <t>Charges = taxe foncière, assurance, charges copro, entretien</t>
  </si>
  <si>
    <t>charges</t>
  </si>
  <si>
    <t>Additioné au prix initial</t>
  </si>
  <si>
    <t>CAGR break-even</t>
  </si>
  <si>
    <t>% du prix initial</t>
  </si>
  <si>
    <t>Frais de gestion</t>
  </si>
  <si>
    <t>Frais de vente (au prix initial)</t>
  </si>
  <si>
    <t>charges_total</t>
  </si>
  <si>
    <t>additional_savings</t>
  </si>
  <si>
    <t>capital_investit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</si>
</sst>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XDR&quot;;[Red]\-#,##0.00\ &quot;XDR&quot;"/>
    <numFmt numFmtId="164" formatCode="#,##0_ ;[Red]\-#,##0\ "/>
    <numFmt numFmtId="165" formatCode="0.0"/>
    <numFmt numFmtId="166" formatCode="0.0000%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0" applyNumberFormat="1"/>
    <xf numFmtId="0" fontId="0" fillId="0" borderId="0" xfId="0" applyAlignment="1">
      <alignment vertical="center" wrapText="1"/>
    </xf>
    <xf numFmtId="1" fontId="0" fillId="0" borderId="0" xfId="0" applyNumberFormat="1"/>
    <xf numFmtId="2" fontId="0" fillId="0" borderId="0" xfId="0" applyNumberFormat="1" applyAlignment="1">
      <alignment vertical="center" wrapText="1"/>
    </xf>
    <xf numFmtId="9" fontId="0" fillId="2" borderId="0" xfId="0" applyNumberFormat="1" applyFill="1"/>
    <xf numFmtId="0" fontId="0" fillId="2" borderId="0" xfId="0" applyFill="1"/>
    <xf numFmtId="10" fontId="0" fillId="0" borderId="0" xfId="0" applyNumberFormat="1"/>
    <xf numFmtId="0" fontId="2" fillId="0" borderId="0" xfId="0" applyFont="1"/>
    <xf numFmtId="10" fontId="2" fillId="0" borderId="0" xfId="1" applyNumberFormat="1" applyFont="1"/>
    <xf numFmtId="1" fontId="3" fillId="0" borderId="0" xfId="0" applyNumberFormat="1" applyFont="1" applyAlignment="1">
      <alignment vertical="center" wrapText="1"/>
    </xf>
    <xf numFmtId="1" fontId="3" fillId="0" borderId="0" xfId="0" applyNumberFormat="1" applyFont="1"/>
    <xf numFmtId="2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8" fontId="0" fillId="0" borderId="0" xfId="0" applyNumberFormat="1"/>
    <xf numFmtId="164" fontId="0" fillId="0" borderId="0" xfId="0" applyNumberFormat="1"/>
    <xf numFmtId="0" fontId="4" fillId="0" borderId="0" xfId="0" applyFont="1"/>
    <xf numFmtId="1" fontId="4" fillId="0" borderId="0" xfId="0" applyNumberFormat="1" applyFont="1" applyAlignment="1">
      <alignment vertical="center" wrapText="1"/>
    </xf>
    <xf numFmtId="0" fontId="5" fillId="0" borderId="0" xfId="0" applyFont="1"/>
    <xf numFmtId="166" fontId="2" fillId="0" borderId="0" xfId="1" applyNumberFormat="1" applyFont="1"/>
    <xf numFmtId="165" fontId="0" fillId="0" borderId="0" xfId="0" applyNumberFormat="1"/>
    <xf numFmtId="1" fontId="0" fillId="0" borderId="0" xfId="0" applyNumberFormat="1" applyAlignment="1">
      <alignment vertical="center" wrapText="1"/>
    </xf>
    <xf numFmtId="167" fontId="0" fillId="0" borderId="0" xfId="0" applyNumberFormat="1"/>
    <xf numFmtId="0" fontId="6" fillId="0" borderId="0" xfId="0" applyFont="1"/>
    <xf numFmtId="3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3" fillId="0" borderId="0" xfId="0" applyFont="1"/>
    <xf numFmtId="3" fontId="3" fillId="0" borderId="0" xfId="0" applyNumberFormat="1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Achat_1_v2_20yrs!$AD$3:$AD$125</c:f>
              <c:strCache>
                <c:ptCount val="123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1-5</c:v>
                </c:pt>
                <c:pt idx="5">
                  <c:v>1-6</c:v>
                </c:pt>
                <c:pt idx="6">
                  <c:v>1-7</c:v>
                </c:pt>
                <c:pt idx="7">
                  <c:v>1-8</c:v>
                </c:pt>
                <c:pt idx="8">
                  <c:v>1-9</c:v>
                </c:pt>
                <c:pt idx="9">
                  <c:v>1-10</c:v>
                </c:pt>
                <c:pt idx="10">
                  <c:v>1-11</c:v>
                </c:pt>
                <c:pt idx="11">
                  <c:v>1-12</c:v>
                </c:pt>
                <c:pt idx="12">
                  <c:v>2-1</c:v>
                </c:pt>
                <c:pt idx="13">
                  <c:v>2-2</c:v>
                </c:pt>
                <c:pt idx="14">
                  <c:v>2-3</c:v>
                </c:pt>
                <c:pt idx="15">
                  <c:v>2-4</c:v>
                </c:pt>
                <c:pt idx="16">
                  <c:v>2-5</c:v>
                </c:pt>
                <c:pt idx="17">
                  <c:v>2-6</c:v>
                </c:pt>
                <c:pt idx="18">
                  <c:v>2-7</c:v>
                </c:pt>
                <c:pt idx="19">
                  <c:v>2-8</c:v>
                </c:pt>
                <c:pt idx="20">
                  <c:v>2-9</c:v>
                </c:pt>
                <c:pt idx="21">
                  <c:v>2-10</c:v>
                </c:pt>
                <c:pt idx="22">
                  <c:v>2-11</c:v>
                </c:pt>
                <c:pt idx="23">
                  <c:v>2-12</c:v>
                </c:pt>
                <c:pt idx="24">
                  <c:v>3-1</c:v>
                </c:pt>
                <c:pt idx="25">
                  <c:v>3-2</c:v>
                </c:pt>
                <c:pt idx="26">
                  <c:v>3-3</c:v>
                </c:pt>
                <c:pt idx="27">
                  <c:v>3-4</c:v>
                </c:pt>
                <c:pt idx="28">
                  <c:v>3-5</c:v>
                </c:pt>
                <c:pt idx="29">
                  <c:v>3-6</c:v>
                </c:pt>
                <c:pt idx="30">
                  <c:v>3-7</c:v>
                </c:pt>
                <c:pt idx="31">
                  <c:v>3-8</c:v>
                </c:pt>
                <c:pt idx="32">
                  <c:v>3-9</c:v>
                </c:pt>
                <c:pt idx="33">
                  <c:v>3-10</c:v>
                </c:pt>
                <c:pt idx="34">
                  <c:v>3-11</c:v>
                </c:pt>
                <c:pt idx="35">
                  <c:v>3-12</c:v>
                </c:pt>
                <c:pt idx="36">
                  <c:v>4-1</c:v>
                </c:pt>
                <c:pt idx="37">
                  <c:v>4-2</c:v>
                </c:pt>
                <c:pt idx="38">
                  <c:v>4-3</c:v>
                </c:pt>
                <c:pt idx="39">
                  <c:v>4-4</c:v>
                </c:pt>
                <c:pt idx="40">
                  <c:v>4-5</c:v>
                </c:pt>
                <c:pt idx="41">
                  <c:v>4-6</c:v>
                </c:pt>
                <c:pt idx="42">
                  <c:v>4-7</c:v>
                </c:pt>
                <c:pt idx="43">
                  <c:v>4-8</c:v>
                </c:pt>
                <c:pt idx="44">
                  <c:v>4-9</c:v>
                </c:pt>
                <c:pt idx="45">
                  <c:v>4-10</c:v>
                </c:pt>
                <c:pt idx="46">
                  <c:v>4-11</c:v>
                </c:pt>
                <c:pt idx="47">
                  <c:v>4-12</c:v>
                </c:pt>
                <c:pt idx="48">
                  <c:v>5-1</c:v>
                </c:pt>
                <c:pt idx="49">
                  <c:v>5-2</c:v>
                </c:pt>
                <c:pt idx="50">
                  <c:v>5-3</c:v>
                </c:pt>
                <c:pt idx="51">
                  <c:v>5-4</c:v>
                </c:pt>
                <c:pt idx="52">
                  <c:v>5-5</c:v>
                </c:pt>
                <c:pt idx="53">
                  <c:v>5-6</c:v>
                </c:pt>
                <c:pt idx="54">
                  <c:v>5-7</c:v>
                </c:pt>
                <c:pt idx="55">
                  <c:v>5-8</c:v>
                </c:pt>
                <c:pt idx="56">
                  <c:v>5-9</c:v>
                </c:pt>
                <c:pt idx="57">
                  <c:v>5-10</c:v>
                </c:pt>
                <c:pt idx="58">
                  <c:v>5-11</c:v>
                </c:pt>
                <c:pt idx="59">
                  <c:v>5-12</c:v>
                </c:pt>
                <c:pt idx="60">
                  <c:v>6-1</c:v>
                </c:pt>
                <c:pt idx="61">
                  <c:v>6-2</c:v>
                </c:pt>
                <c:pt idx="62">
                  <c:v>6-3</c:v>
                </c:pt>
                <c:pt idx="63">
                  <c:v>6-4</c:v>
                </c:pt>
                <c:pt idx="64">
                  <c:v>6-5</c:v>
                </c:pt>
                <c:pt idx="65">
                  <c:v>6-6</c:v>
                </c:pt>
                <c:pt idx="66">
                  <c:v>6-7</c:v>
                </c:pt>
                <c:pt idx="67">
                  <c:v>6-8</c:v>
                </c:pt>
                <c:pt idx="68">
                  <c:v>6-9</c:v>
                </c:pt>
                <c:pt idx="69">
                  <c:v>6-10</c:v>
                </c:pt>
                <c:pt idx="70">
                  <c:v>6-11</c:v>
                </c:pt>
                <c:pt idx="71">
                  <c:v>6-12</c:v>
                </c:pt>
                <c:pt idx="72">
                  <c:v>7-1</c:v>
                </c:pt>
                <c:pt idx="73">
                  <c:v>7-2</c:v>
                </c:pt>
                <c:pt idx="74">
                  <c:v>7-3</c:v>
                </c:pt>
                <c:pt idx="75">
                  <c:v>7-4</c:v>
                </c:pt>
                <c:pt idx="76">
                  <c:v>7-5</c:v>
                </c:pt>
                <c:pt idx="77">
                  <c:v>7-6</c:v>
                </c:pt>
                <c:pt idx="78">
                  <c:v>7-7</c:v>
                </c:pt>
                <c:pt idx="79">
                  <c:v>7-8</c:v>
                </c:pt>
                <c:pt idx="80">
                  <c:v>7-9</c:v>
                </c:pt>
                <c:pt idx="81">
                  <c:v>7-10</c:v>
                </c:pt>
                <c:pt idx="82">
                  <c:v>7-11</c:v>
                </c:pt>
                <c:pt idx="83">
                  <c:v>7-12</c:v>
                </c:pt>
                <c:pt idx="84">
                  <c:v>8-1</c:v>
                </c:pt>
                <c:pt idx="85">
                  <c:v>8-2</c:v>
                </c:pt>
                <c:pt idx="86">
                  <c:v>8-3</c:v>
                </c:pt>
                <c:pt idx="87">
                  <c:v>8-4</c:v>
                </c:pt>
                <c:pt idx="88">
                  <c:v>8-5</c:v>
                </c:pt>
                <c:pt idx="89">
                  <c:v>8-6</c:v>
                </c:pt>
                <c:pt idx="90">
                  <c:v>8-7</c:v>
                </c:pt>
                <c:pt idx="91">
                  <c:v>8-8</c:v>
                </c:pt>
                <c:pt idx="92">
                  <c:v>8-9</c:v>
                </c:pt>
                <c:pt idx="93">
                  <c:v>8-10</c:v>
                </c:pt>
                <c:pt idx="94">
                  <c:v>8-11</c:v>
                </c:pt>
                <c:pt idx="95">
                  <c:v>8-12</c:v>
                </c:pt>
                <c:pt idx="96">
                  <c:v>9-1</c:v>
                </c:pt>
                <c:pt idx="97">
                  <c:v>9-2</c:v>
                </c:pt>
                <c:pt idx="98">
                  <c:v>9-3</c:v>
                </c:pt>
                <c:pt idx="99">
                  <c:v>9-4</c:v>
                </c:pt>
                <c:pt idx="100">
                  <c:v>9-5</c:v>
                </c:pt>
                <c:pt idx="101">
                  <c:v>9-6</c:v>
                </c:pt>
                <c:pt idx="102">
                  <c:v>9-7</c:v>
                </c:pt>
                <c:pt idx="103">
                  <c:v>9-8</c:v>
                </c:pt>
                <c:pt idx="104">
                  <c:v>9-9</c:v>
                </c:pt>
                <c:pt idx="105">
                  <c:v>9-10</c:v>
                </c:pt>
                <c:pt idx="106">
                  <c:v>9-11</c:v>
                </c:pt>
                <c:pt idx="107">
                  <c:v>9-12</c:v>
                </c:pt>
                <c:pt idx="108">
                  <c:v>10-1</c:v>
                </c:pt>
                <c:pt idx="109">
                  <c:v>10-2</c:v>
                </c:pt>
                <c:pt idx="110">
                  <c:v>10-3</c:v>
                </c:pt>
                <c:pt idx="111">
                  <c:v>10-4</c:v>
                </c:pt>
                <c:pt idx="112">
                  <c:v>10-5</c:v>
                </c:pt>
                <c:pt idx="113">
                  <c:v>10-6</c:v>
                </c:pt>
                <c:pt idx="114">
                  <c:v>10-7</c:v>
                </c:pt>
                <c:pt idx="115">
                  <c:v>10-8</c:v>
                </c:pt>
                <c:pt idx="116">
                  <c:v>10-9</c:v>
                </c:pt>
                <c:pt idx="117">
                  <c:v>10-10</c:v>
                </c:pt>
                <c:pt idx="118">
                  <c:v>10-11</c:v>
                </c:pt>
                <c:pt idx="119">
                  <c:v>10-12</c:v>
                </c:pt>
                <c:pt idx="120">
                  <c:v>11-1</c:v>
                </c:pt>
                <c:pt idx="121">
                  <c:v>11-2</c:v>
                </c:pt>
                <c:pt idx="122">
                  <c:v>11-3</c:v>
                </c:pt>
              </c:strCache>
            </c:strRef>
          </c:cat>
          <c:val>
            <c:numRef>
              <c:f>Achat_1_v2_20yrs!$AE$3:$AE$125</c:f>
              <c:numCache>
                <c:formatCode>0</c:formatCode>
                <c:ptCount val="123"/>
                <c:pt idx="0">
                  <c:v>18596.666666666668</c:v>
                </c:pt>
                <c:pt idx="1">
                  <c:v>19192.11494294192</c:v>
                </c:pt>
                <c:pt idx="2">
                  <c:v>19786.341782849777</c:v>
                </c:pt>
                <c:pt idx="3">
                  <c:v>20379.344132799321</c:v>
                </c:pt>
                <c:pt idx="4">
                  <c:v>20971.118931565656</c:v>
                </c:pt>
                <c:pt idx="5">
                  <c:v>21561.663110270823</c:v>
                </c:pt>
                <c:pt idx="6">
                  <c:v>22150.973592364673</c:v>
                </c:pt>
                <c:pt idx="7">
                  <c:v>22739.047293605676</c:v>
                </c:pt>
                <c:pt idx="8">
                  <c:v>23325.881122041697</c:v>
                </c:pt>
                <c:pt idx="9">
                  <c:v>23911.471977990728</c:v>
                </c:pt>
                <c:pt idx="10">
                  <c:v>24495.816754021547</c:v>
                </c:pt>
                <c:pt idx="11">
                  <c:v>25078.912334934361</c:v>
                </c:pt>
                <c:pt idx="12">
                  <c:v>25662.755597741376</c:v>
                </c:pt>
                <c:pt idx="13">
                  <c:v>26245.343411647325</c:v>
                </c:pt>
                <c:pt idx="14">
                  <c:v>26826.672638029959</c:v>
                </c:pt>
                <c:pt idx="15">
                  <c:v>27406.740130420465</c:v>
                </c:pt>
                <c:pt idx="16">
                  <c:v>27985.542734483864</c:v>
                </c:pt>
                <c:pt idx="17">
                  <c:v>28563.077287999342</c:v>
                </c:pt>
                <c:pt idx="18">
                  <c:v>29139.340620840525</c:v>
                </c:pt>
                <c:pt idx="19">
                  <c:v>29714.32955495573</c:v>
                </c:pt>
                <c:pt idx="20">
                  <c:v>30288.040904348138</c:v>
                </c:pt>
                <c:pt idx="21">
                  <c:v>30860.471475055947</c:v>
                </c:pt>
                <c:pt idx="22">
                  <c:v>31431.618065132443</c:v>
                </c:pt>
                <c:pt idx="23">
                  <c:v>32001.477464626048</c:v>
                </c:pt>
                <c:pt idx="24">
                  <c:v>32572.086455560304</c:v>
                </c:pt>
                <c:pt idx="25">
                  <c:v>33141.401811913813</c:v>
                </c:pt>
                <c:pt idx="26">
                  <c:v>33709.420299600126</c:v>
                </c:pt>
                <c:pt idx="27">
                  <c:v>34276.138676447568</c:v>
                </c:pt>
                <c:pt idx="28">
                  <c:v>34841.553692179048</c:v>
                </c:pt>
                <c:pt idx="29">
                  <c:v>35405.662088391771</c:v>
                </c:pt>
                <c:pt idx="30">
                  <c:v>35968.460598536949</c:v>
                </c:pt>
                <c:pt idx="31">
                  <c:v>36529.945947899403</c:v>
                </c:pt>
                <c:pt idx="32">
                  <c:v>37090.114853577186</c:v>
                </c:pt>
                <c:pt idx="33">
                  <c:v>37648.964024461078</c:v>
                </c:pt>
                <c:pt idx="34">
                  <c:v>38206.490161214097</c:v>
                </c:pt>
                <c:pt idx="35">
                  <c:v>38762.689956250913</c:v>
                </c:pt>
                <c:pt idx="36">
                  <c:v>39319.640893717245</c:v>
                </c:pt>
                <c:pt idx="37">
                  <c:v>39875.258849469159</c:v>
                </c:pt>
                <c:pt idx="38">
                  <c:v>40429.540491052372</c:v>
                </c:pt>
                <c:pt idx="39">
                  <c:v>40982.482477681457</c:v>
                </c:pt>
                <c:pt idx="40">
                  <c:v>41534.081460219037</c:v>
                </c:pt>
                <c:pt idx="41">
                  <c:v>42084.334081154877</c:v>
                </c:pt>
                <c:pt idx="42">
                  <c:v>42633.236974584972</c:v>
                </c:pt>
                <c:pt idx="43">
                  <c:v>43180.786766190562</c:v>
                </c:pt>
                <c:pt idx="44">
                  <c:v>43726.980073217084</c:v>
                </c:pt>
                <c:pt idx="45">
                  <c:v>44271.813504453086</c:v>
                </c:pt>
                <c:pt idx="46">
                  <c:v>44815.283660209097</c:v>
                </c:pt>
                <c:pt idx="47">
                  <c:v>45357.387132296419</c:v>
                </c:pt>
                <c:pt idx="48">
                  <c:v>45900.242920005876</c:v>
                </c:pt>
                <c:pt idx="49">
                  <c:v>46441.72518208652</c:v>
                </c:pt>
                <c:pt idx="50">
                  <c:v>46981.830484724283</c:v>
                </c:pt>
                <c:pt idx="51">
                  <c:v>47520.555385520558</c:v>
                </c:pt>
                <c:pt idx="52">
                  <c:v>48057.896433470742</c:v>
                </c:pt>
                <c:pt idx="53">
                  <c:v>48593.850168942721</c:v>
                </c:pt>
                <c:pt idx="54">
                  <c:v>49128.4131236553</c:v>
                </c:pt>
                <c:pt idx="55">
                  <c:v>49661.581820656575</c:v>
                </c:pt>
                <c:pt idx="56">
                  <c:v>50193.352774302271</c:v>
                </c:pt>
                <c:pt idx="57">
                  <c:v>50723.722490234002</c:v>
                </c:pt>
                <c:pt idx="58">
                  <c:v>51252.687465357478</c:v>
                </c:pt>
                <c:pt idx="59">
                  <c:v>51780.244187820681</c:v>
                </c:pt>
                <c:pt idx="60">
                  <c:v>52308.554001311961</c:v>
                </c:pt>
                <c:pt idx="61">
                  <c:v>52835.448512078081</c:v>
                </c:pt>
                <c:pt idx="62">
                  <c:v>53360.924181862239</c:v>
                </c:pt>
                <c:pt idx="63">
                  <c:v>53884.977463561976</c:v>
                </c:pt>
                <c:pt idx="64">
                  <c:v>54407.604801207075</c:v>
                </c:pt>
                <c:pt idx="65">
                  <c:v>54928.802629937403</c:v>
                </c:pt>
                <c:pt idx="66">
                  <c:v>55448.567375980681</c:v>
                </c:pt>
                <c:pt idx="67">
                  <c:v>55966.895456630184</c:v>
                </c:pt>
                <c:pt idx="68">
                  <c:v>56483.783280222429</c:v>
                </c:pt>
                <c:pt idx="69">
                  <c:v>56999.227246114773</c:v>
                </c:pt>
                <c:pt idx="70">
                  <c:v>57513.223744662959</c:v>
                </c:pt>
                <c:pt idx="71">
                  <c:v>58025.769157198636</c:v>
                </c:pt>
                <c:pt idx="72">
                  <c:v>58539.068017613172</c:v>
                </c:pt>
                <c:pt idx="73">
                  <c:v>59050.908527515843</c:v>
                </c:pt>
                <c:pt idx="74">
                  <c:v>59561.287041030373</c:v>
                </c:pt>
                <c:pt idx="75">
                  <c:v>60070.199903165791</c:v>
                </c:pt>
                <c:pt idx="76">
                  <c:v>60577.64344979365</c:v>
                </c:pt>
                <c:pt idx="77">
                  <c:v>61083.614007625183</c:v>
                </c:pt>
                <c:pt idx="78">
                  <c:v>61588.107894188397</c:v>
                </c:pt>
                <c:pt idx="79">
                  <c:v>62091.121417805116</c:v>
                </c:pt>
                <c:pt idx="80">
                  <c:v>62592.650877567983</c:v>
                </c:pt>
                <c:pt idx="81">
                  <c:v>63092.692563317352</c:v>
                </c:pt>
                <c:pt idx="82">
                  <c:v>63591.242755618201</c:v>
                </c:pt>
                <c:pt idx="83">
                  <c:v>64088.297725736906</c:v>
                </c:pt>
                <c:pt idx="84">
                  <c:v>64586.106060456535</c:v>
                </c:pt>
                <c:pt idx="85">
                  <c:v>65082.41168753797</c:v>
                </c:pt>
                <c:pt idx="86">
                  <c:v>65577.210850212112</c:v>
                </c:pt>
                <c:pt idx="87">
                  <c:v>66070.499782317944</c:v>
                </c:pt>
                <c:pt idx="88">
                  <c:v>66562.274708279045</c:v>
                </c:pt>
                <c:pt idx="89">
                  <c:v>67052.531843080054</c:v>
                </c:pt>
                <c:pt idx="90">
                  <c:v>67541.267392243069</c:v>
                </c:pt>
                <c:pt idx="91">
                  <c:v>68028.477551803997</c:v>
                </c:pt>
                <c:pt idx="92">
                  <c:v>68514.158508288834</c:v>
                </c:pt>
                <c:pt idx="93">
                  <c:v>68998.306438689891</c:v>
                </c:pt>
                <c:pt idx="94">
                  <c:v>69480.917510441956</c:v>
                </c:pt>
                <c:pt idx="95">
                  <c:v>69961.987881398411</c:v>
                </c:pt>
                <c:pt idx="96">
                  <c:v>70443.811071142554</c:v>
                </c:pt>
                <c:pt idx="97">
                  <c:v>70924.085846957722</c:v>
                </c:pt>
                <c:pt idx="98">
                  <c:v>71402.808337809096</c:v>
                </c:pt>
                <c:pt idx="99">
                  <c:v>71879.97466298427</c:v>
                </c:pt>
                <c:pt idx="100">
                  <c:v>72355.580932069046</c:v>
                </c:pt>
                <c:pt idx="101">
                  <c:v>72829.623244923205</c:v>
                </c:pt>
                <c:pt idx="102">
                  <c:v>73302.097691656163</c:v>
                </c:pt>
                <c:pt idx="103">
                  <c:v>73773.000352602627</c:v>
                </c:pt>
                <c:pt idx="104">
                  <c:v>74242.327298298114</c:v>
                </c:pt>
                <c:pt idx="105">
                  <c:v>74710.074589454511</c:v>
                </c:pt>
                <c:pt idx="106">
                  <c:v>75176.238276935459</c:v>
                </c:pt>
                <c:pt idx="107">
                  <c:v>75640.814401731783</c:v>
                </c:pt>
                <c:pt idx="108">
                  <c:v>76106.142313698772</c:v>
                </c:pt>
                <c:pt idx="109">
                  <c:v>76569.874715245445</c:v>
                </c:pt>
                <c:pt idx="110">
                  <c:v>77032.007617595737</c:v>
                </c:pt>
                <c:pt idx="111">
                  <c:v>77492.537022001663</c:v>
                </c:pt>
                <c:pt idx="112">
                  <c:v>77951.458919718367</c:v>
                </c:pt>
                <c:pt idx="113">
                  <c:v>78408.76929197913</c:v>
                </c:pt>
                <c:pt idx="114">
                  <c:v>78864.464109970315</c:v>
                </c:pt>
                <c:pt idx="115">
                  <c:v>79318.539334806235</c:v>
                </c:pt>
                <c:pt idx="116">
                  <c:v>79770.990917504008</c:v>
                </c:pt>
                <c:pt idx="117">
                  <c:v>80221.814798958279</c:v>
                </c:pt>
                <c:pt idx="118">
                  <c:v>80671.006909915959</c:v>
                </c:pt>
                <c:pt idx="119">
                  <c:v>81118.563170950787</c:v>
                </c:pt>
                <c:pt idx="120">
                  <c:v>81566.869677575218</c:v>
                </c:pt>
                <c:pt idx="121">
                  <c:v>82013.532144803117</c:v>
                </c:pt>
                <c:pt idx="122">
                  <c:v>82458.546462536004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5-4976-9569-9D4DA0D0865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Achat_1_v2_20yrs!$AD$3:$AD$125</c:f>
              <c:strCache>
                <c:ptCount val="123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1-5</c:v>
                </c:pt>
                <c:pt idx="5">
                  <c:v>1-6</c:v>
                </c:pt>
                <c:pt idx="6">
                  <c:v>1-7</c:v>
                </c:pt>
                <c:pt idx="7">
                  <c:v>1-8</c:v>
                </c:pt>
                <c:pt idx="8">
                  <c:v>1-9</c:v>
                </c:pt>
                <c:pt idx="9">
                  <c:v>1-10</c:v>
                </c:pt>
                <c:pt idx="10">
                  <c:v>1-11</c:v>
                </c:pt>
                <c:pt idx="11">
                  <c:v>1-12</c:v>
                </c:pt>
                <c:pt idx="12">
                  <c:v>2-1</c:v>
                </c:pt>
                <c:pt idx="13">
                  <c:v>2-2</c:v>
                </c:pt>
                <c:pt idx="14">
                  <c:v>2-3</c:v>
                </c:pt>
                <c:pt idx="15">
                  <c:v>2-4</c:v>
                </c:pt>
                <c:pt idx="16">
                  <c:v>2-5</c:v>
                </c:pt>
                <c:pt idx="17">
                  <c:v>2-6</c:v>
                </c:pt>
                <c:pt idx="18">
                  <c:v>2-7</c:v>
                </c:pt>
                <c:pt idx="19">
                  <c:v>2-8</c:v>
                </c:pt>
                <c:pt idx="20">
                  <c:v>2-9</c:v>
                </c:pt>
                <c:pt idx="21">
                  <c:v>2-10</c:v>
                </c:pt>
                <c:pt idx="22">
                  <c:v>2-11</c:v>
                </c:pt>
                <c:pt idx="23">
                  <c:v>2-12</c:v>
                </c:pt>
                <c:pt idx="24">
                  <c:v>3-1</c:v>
                </c:pt>
                <c:pt idx="25">
                  <c:v>3-2</c:v>
                </c:pt>
                <c:pt idx="26">
                  <c:v>3-3</c:v>
                </c:pt>
                <c:pt idx="27">
                  <c:v>3-4</c:v>
                </c:pt>
                <c:pt idx="28">
                  <c:v>3-5</c:v>
                </c:pt>
                <c:pt idx="29">
                  <c:v>3-6</c:v>
                </c:pt>
                <c:pt idx="30">
                  <c:v>3-7</c:v>
                </c:pt>
                <c:pt idx="31">
                  <c:v>3-8</c:v>
                </c:pt>
                <c:pt idx="32">
                  <c:v>3-9</c:v>
                </c:pt>
                <c:pt idx="33">
                  <c:v>3-10</c:v>
                </c:pt>
                <c:pt idx="34">
                  <c:v>3-11</c:v>
                </c:pt>
                <c:pt idx="35">
                  <c:v>3-12</c:v>
                </c:pt>
                <c:pt idx="36">
                  <c:v>4-1</c:v>
                </c:pt>
                <c:pt idx="37">
                  <c:v>4-2</c:v>
                </c:pt>
                <c:pt idx="38">
                  <c:v>4-3</c:v>
                </c:pt>
                <c:pt idx="39">
                  <c:v>4-4</c:v>
                </c:pt>
                <c:pt idx="40">
                  <c:v>4-5</c:v>
                </c:pt>
                <c:pt idx="41">
                  <c:v>4-6</c:v>
                </c:pt>
                <c:pt idx="42">
                  <c:v>4-7</c:v>
                </c:pt>
                <c:pt idx="43">
                  <c:v>4-8</c:v>
                </c:pt>
                <c:pt idx="44">
                  <c:v>4-9</c:v>
                </c:pt>
                <c:pt idx="45">
                  <c:v>4-10</c:v>
                </c:pt>
                <c:pt idx="46">
                  <c:v>4-11</c:v>
                </c:pt>
                <c:pt idx="47">
                  <c:v>4-12</c:v>
                </c:pt>
                <c:pt idx="48">
                  <c:v>5-1</c:v>
                </c:pt>
                <c:pt idx="49">
                  <c:v>5-2</c:v>
                </c:pt>
                <c:pt idx="50">
                  <c:v>5-3</c:v>
                </c:pt>
                <c:pt idx="51">
                  <c:v>5-4</c:v>
                </c:pt>
                <c:pt idx="52">
                  <c:v>5-5</c:v>
                </c:pt>
                <c:pt idx="53">
                  <c:v>5-6</c:v>
                </c:pt>
                <c:pt idx="54">
                  <c:v>5-7</c:v>
                </c:pt>
                <c:pt idx="55">
                  <c:v>5-8</c:v>
                </c:pt>
                <c:pt idx="56">
                  <c:v>5-9</c:v>
                </c:pt>
                <c:pt idx="57">
                  <c:v>5-10</c:v>
                </c:pt>
                <c:pt idx="58">
                  <c:v>5-11</c:v>
                </c:pt>
                <c:pt idx="59">
                  <c:v>5-12</c:v>
                </c:pt>
                <c:pt idx="60">
                  <c:v>6-1</c:v>
                </c:pt>
                <c:pt idx="61">
                  <c:v>6-2</c:v>
                </c:pt>
                <c:pt idx="62">
                  <c:v>6-3</c:v>
                </c:pt>
                <c:pt idx="63">
                  <c:v>6-4</c:v>
                </c:pt>
                <c:pt idx="64">
                  <c:v>6-5</c:v>
                </c:pt>
                <c:pt idx="65">
                  <c:v>6-6</c:v>
                </c:pt>
                <c:pt idx="66">
                  <c:v>6-7</c:v>
                </c:pt>
                <c:pt idx="67">
                  <c:v>6-8</c:v>
                </c:pt>
                <c:pt idx="68">
                  <c:v>6-9</c:v>
                </c:pt>
                <c:pt idx="69">
                  <c:v>6-10</c:v>
                </c:pt>
                <c:pt idx="70">
                  <c:v>6-11</c:v>
                </c:pt>
                <c:pt idx="71">
                  <c:v>6-12</c:v>
                </c:pt>
                <c:pt idx="72">
                  <c:v>7-1</c:v>
                </c:pt>
                <c:pt idx="73">
                  <c:v>7-2</c:v>
                </c:pt>
                <c:pt idx="74">
                  <c:v>7-3</c:v>
                </c:pt>
                <c:pt idx="75">
                  <c:v>7-4</c:v>
                </c:pt>
                <c:pt idx="76">
                  <c:v>7-5</c:v>
                </c:pt>
                <c:pt idx="77">
                  <c:v>7-6</c:v>
                </c:pt>
                <c:pt idx="78">
                  <c:v>7-7</c:v>
                </c:pt>
                <c:pt idx="79">
                  <c:v>7-8</c:v>
                </c:pt>
                <c:pt idx="80">
                  <c:v>7-9</c:v>
                </c:pt>
                <c:pt idx="81">
                  <c:v>7-10</c:v>
                </c:pt>
                <c:pt idx="82">
                  <c:v>7-11</c:v>
                </c:pt>
                <c:pt idx="83">
                  <c:v>7-12</c:v>
                </c:pt>
                <c:pt idx="84">
                  <c:v>8-1</c:v>
                </c:pt>
                <c:pt idx="85">
                  <c:v>8-2</c:v>
                </c:pt>
                <c:pt idx="86">
                  <c:v>8-3</c:v>
                </c:pt>
                <c:pt idx="87">
                  <c:v>8-4</c:v>
                </c:pt>
                <c:pt idx="88">
                  <c:v>8-5</c:v>
                </c:pt>
                <c:pt idx="89">
                  <c:v>8-6</c:v>
                </c:pt>
                <c:pt idx="90">
                  <c:v>8-7</c:v>
                </c:pt>
                <c:pt idx="91">
                  <c:v>8-8</c:v>
                </c:pt>
                <c:pt idx="92">
                  <c:v>8-9</c:v>
                </c:pt>
                <c:pt idx="93">
                  <c:v>8-10</c:v>
                </c:pt>
                <c:pt idx="94">
                  <c:v>8-11</c:v>
                </c:pt>
                <c:pt idx="95">
                  <c:v>8-12</c:v>
                </c:pt>
                <c:pt idx="96">
                  <c:v>9-1</c:v>
                </c:pt>
                <c:pt idx="97">
                  <c:v>9-2</c:v>
                </c:pt>
                <c:pt idx="98">
                  <c:v>9-3</c:v>
                </c:pt>
                <c:pt idx="99">
                  <c:v>9-4</c:v>
                </c:pt>
                <c:pt idx="100">
                  <c:v>9-5</c:v>
                </c:pt>
                <c:pt idx="101">
                  <c:v>9-6</c:v>
                </c:pt>
                <c:pt idx="102">
                  <c:v>9-7</c:v>
                </c:pt>
                <c:pt idx="103">
                  <c:v>9-8</c:v>
                </c:pt>
                <c:pt idx="104">
                  <c:v>9-9</c:v>
                </c:pt>
                <c:pt idx="105">
                  <c:v>9-10</c:v>
                </c:pt>
                <c:pt idx="106">
                  <c:v>9-11</c:v>
                </c:pt>
                <c:pt idx="107">
                  <c:v>9-12</c:v>
                </c:pt>
                <c:pt idx="108">
                  <c:v>10-1</c:v>
                </c:pt>
                <c:pt idx="109">
                  <c:v>10-2</c:v>
                </c:pt>
                <c:pt idx="110">
                  <c:v>10-3</c:v>
                </c:pt>
                <c:pt idx="111">
                  <c:v>10-4</c:v>
                </c:pt>
                <c:pt idx="112">
                  <c:v>10-5</c:v>
                </c:pt>
                <c:pt idx="113">
                  <c:v>10-6</c:v>
                </c:pt>
                <c:pt idx="114">
                  <c:v>10-7</c:v>
                </c:pt>
                <c:pt idx="115">
                  <c:v>10-8</c:v>
                </c:pt>
                <c:pt idx="116">
                  <c:v>10-9</c:v>
                </c:pt>
                <c:pt idx="117">
                  <c:v>10-10</c:v>
                </c:pt>
                <c:pt idx="118">
                  <c:v>10-11</c:v>
                </c:pt>
                <c:pt idx="119">
                  <c:v>10-12</c:v>
                </c:pt>
                <c:pt idx="120">
                  <c:v>11-1</c:v>
                </c:pt>
                <c:pt idx="121">
                  <c:v>11-2</c:v>
                </c:pt>
                <c:pt idx="122">
                  <c:v>11-3</c:v>
                </c:pt>
              </c:strCache>
            </c:strRef>
          </c:cat>
          <c:val>
            <c:numRef>
              <c:f>Achat_1_v2_20yrs!$AF$3:$AF$125</c:f>
              <c:numCache>
                <c:formatCode>0</c:formatCode>
                <c:ptCount val="123"/>
                <c:pt idx="0">
                  <c:v>850</c:v>
                </c:pt>
                <c:pt idx="1">
                  <c:v>1700</c:v>
                </c:pt>
                <c:pt idx="2">
                  <c:v>2550</c:v>
                </c:pt>
                <c:pt idx="3">
                  <c:v>3400</c:v>
                </c:pt>
                <c:pt idx="4">
                  <c:v>4250</c:v>
                </c:pt>
                <c:pt idx="5">
                  <c:v>5100</c:v>
                </c:pt>
                <c:pt idx="6">
                  <c:v>5950</c:v>
                </c:pt>
                <c:pt idx="7">
                  <c:v>6800</c:v>
                </c:pt>
                <c:pt idx="8">
                  <c:v>7650</c:v>
                </c:pt>
                <c:pt idx="9">
                  <c:v>8500</c:v>
                </c:pt>
                <c:pt idx="10">
                  <c:v>9350</c:v>
                </c:pt>
                <c:pt idx="11">
                  <c:v>10200</c:v>
                </c:pt>
                <c:pt idx="12">
                  <c:v>11067</c:v>
                </c:pt>
                <c:pt idx="13">
                  <c:v>11934</c:v>
                </c:pt>
                <c:pt idx="14">
                  <c:v>12801</c:v>
                </c:pt>
                <c:pt idx="15">
                  <c:v>13668</c:v>
                </c:pt>
                <c:pt idx="16">
                  <c:v>14535</c:v>
                </c:pt>
                <c:pt idx="17">
                  <c:v>15402</c:v>
                </c:pt>
                <c:pt idx="18">
                  <c:v>16269</c:v>
                </c:pt>
                <c:pt idx="19">
                  <c:v>17136</c:v>
                </c:pt>
                <c:pt idx="20">
                  <c:v>18003</c:v>
                </c:pt>
                <c:pt idx="21">
                  <c:v>18870</c:v>
                </c:pt>
                <c:pt idx="22">
                  <c:v>19737</c:v>
                </c:pt>
                <c:pt idx="23">
                  <c:v>20604</c:v>
                </c:pt>
                <c:pt idx="24">
                  <c:v>21488.34</c:v>
                </c:pt>
                <c:pt idx="25">
                  <c:v>22372.68</c:v>
                </c:pt>
                <c:pt idx="26">
                  <c:v>23257.02</c:v>
                </c:pt>
                <c:pt idx="27">
                  <c:v>24141.360000000001</c:v>
                </c:pt>
                <c:pt idx="28">
                  <c:v>25025.7</c:v>
                </c:pt>
                <c:pt idx="29">
                  <c:v>25910.04</c:v>
                </c:pt>
                <c:pt idx="30">
                  <c:v>26794.38</c:v>
                </c:pt>
                <c:pt idx="31">
                  <c:v>27678.720000000001</c:v>
                </c:pt>
                <c:pt idx="32">
                  <c:v>28563.06</c:v>
                </c:pt>
                <c:pt idx="33">
                  <c:v>29447.4</c:v>
                </c:pt>
                <c:pt idx="34">
                  <c:v>30331.74</c:v>
                </c:pt>
                <c:pt idx="35">
                  <c:v>31216.080000000002</c:v>
                </c:pt>
                <c:pt idx="36">
                  <c:v>32118.106800000001</c:v>
                </c:pt>
                <c:pt idx="37">
                  <c:v>33020.133600000001</c:v>
                </c:pt>
                <c:pt idx="38">
                  <c:v>33922.160400000001</c:v>
                </c:pt>
                <c:pt idx="39">
                  <c:v>34824.1872</c:v>
                </c:pt>
                <c:pt idx="40">
                  <c:v>35726.214</c:v>
                </c:pt>
                <c:pt idx="41">
                  <c:v>36628.2408</c:v>
                </c:pt>
                <c:pt idx="42">
                  <c:v>37530.267599999999</c:v>
                </c:pt>
                <c:pt idx="43">
                  <c:v>38432.294399999999</c:v>
                </c:pt>
                <c:pt idx="44">
                  <c:v>39334.321199999998</c:v>
                </c:pt>
                <c:pt idx="45">
                  <c:v>40236.347999999998</c:v>
                </c:pt>
                <c:pt idx="46">
                  <c:v>41138.374799999998</c:v>
                </c:pt>
                <c:pt idx="47">
                  <c:v>42040.401599999997</c:v>
                </c:pt>
                <c:pt idx="48">
                  <c:v>42960.468935999997</c:v>
                </c:pt>
                <c:pt idx="49">
                  <c:v>43880.536271999998</c:v>
                </c:pt>
                <c:pt idx="50">
                  <c:v>44800.603607999998</c:v>
                </c:pt>
                <c:pt idx="51">
                  <c:v>45720.670943999998</c:v>
                </c:pt>
                <c:pt idx="52">
                  <c:v>46640.738279999998</c:v>
                </c:pt>
                <c:pt idx="53">
                  <c:v>47560.805615999998</c:v>
                </c:pt>
                <c:pt idx="54">
                  <c:v>48480.872951999998</c:v>
                </c:pt>
                <c:pt idx="55">
                  <c:v>49400.940287999998</c:v>
                </c:pt>
                <c:pt idx="56">
                  <c:v>50321.007623999998</c:v>
                </c:pt>
                <c:pt idx="57">
                  <c:v>51241.074959999998</c:v>
                </c:pt>
                <c:pt idx="58">
                  <c:v>52161.142295999998</c:v>
                </c:pt>
                <c:pt idx="59">
                  <c:v>53081.209631999998</c:v>
                </c:pt>
                <c:pt idx="60">
                  <c:v>54019.678314719997</c:v>
                </c:pt>
                <c:pt idx="61">
                  <c:v>54958.146997439995</c:v>
                </c:pt>
                <c:pt idx="62">
                  <c:v>55896.615680159994</c:v>
                </c:pt>
                <c:pt idx="63">
                  <c:v>56835.084362879992</c:v>
                </c:pt>
                <c:pt idx="64">
                  <c:v>57773.553045599991</c:v>
                </c:pt>
                <c:pt idx="65">
                  <c:v>58712.021728319989</c:v>
                </c:pt>
                <c:pt idx="66">
                  <c:v>59650.490411039988</c:v>
                </c:pt>
                <c:pt idx="67">
                  <c:v>60588.959093759986</c:v>
                </c:pt>
                <c:pt idx="68">
                  <c:v>61527.427776479984</c:v>
                </c:pt>
                <c:pt idx="69">
                  <c:v>62465.896459199983</c:v>
                </c:pt>
                <c:pt idx="70">
                  <c:v>63404.365141919981</c:v>
                </c:pt>
                <c:pt idx="71">
                  <c:v>64342.83382463998</c:v>
                </c:pt>
                <c:pt idx="72">
                  <c:v>65300.071881014381</c:v>
                </c:pt>
                <c:pt idx="73">
                  <c:v>66257.309937388782</c:v>
                </c:pt>
                <c:pt idx="74">
                  <c:v>67214.547993763175</c:v>
                </c:pt>
                <c:pt idx="75">
                  <c:v>68171.786050137569</c:v>
                </c:pt>
                <c:pt idx="76">
                  <c:v>69129.024106511963</c:v>
                </c:pt>
                <c:pt idx="77">
                  <c:v>70086.262162886356</c:v>
                </c:pt>
                <c:pt idx="78">
                  <c:v>71043.50021926075</c:v>
                </c:pt>
                <c:pt idx="79">
                  <c:v>72000.738275635144</c:v>
                </c:pt>
                <c:pt idx="80">
                  <c:v>72957.976332009537</c:v>
                </c:pt>
                <c:pt idx="81">
                  <c:v>73915.214388383931</c:v>
                </c:pt>
                <c:pt idx="82">
                  <c:v>74872.452444758324</c:v>
                </c:pt>
                <c:pt idx="83">
                  <c:v>75829.690501132718</c:v>
                </c:pt>
                <c:pt idx="84">
                  <c:v>76806.073318634604</c:v>
                </c:pt>
                <c:pt idx="85">
                  <c:v>77782.45613613649</c:v>
                </c:pt>
                <c:pt idx="86">
                  <c:v>78758.838953638377</c:v>
                </c:pt>
                <c:pt idx="87">
                  <c:v>79735.221771140263</c:v>
                </c:pt>
                <c:pt idx="88">
                  <c:v>80711.604588642149</c:v>
                </c:pt>
                <c:pt idx="89">
                  <c:v>81687.987406144035</c:v>
                </c:pt>
                <c:pt idx="90">
                  <c:v>82664.370223645921</c:v>
                </c:pt>
                <c:pt idx="91">
                  <c:v>83640.753041147807</c:v>
                </c:pt>
                <c:pt idx="92">
                  <c:v>84617.135858649694</c:v>
                </c:pt>
                <c:pt idx="93">
                  <c:v>85593.51867615158</c:v>
                </c:pt>
                <c:pt idx="94">
                  <c:v>86569.901493653466</c:v>
                </c:pt>
                <c:pt idx="95">
                  <c:v>87546.284311155352</c:v>
                </c:pt>
                <c:pt idx="96">
                  <c:v>88542.194785007276</c:v>
                </c:pt>
                <c:pt idx="97">
                  <c:v>89538.105258859199</c:v>
                </c:pt>
                <c:pt idx="98">
                  <c:v>90534.015732711123</c:v>
                </c:pt>
                <c:pt idx="99">
                  <c:v>91529.926206563046</c:v>
                </c:pt>
                <c:pt idx="100">
                  <c:v>92525.83668041497</c:v>
                </c:pt>
                <c:pt idx="101">
                  <c:v>93521.747154266894</c:v>
                </c:pt>
                <c:pt idx="102">
                  <c:v>94517.657628118817</c:v>
                </c:pt>
                <c:pt idx="103">
                  <c:v>95513.568101970741</c:v>
                </c:pt>
                <c:pt idx="104">
                  <c:v>96509.478575822664</c:v>
                </c:pt>
                <c:pt idx="105">
                  <c:v>97505.389049674588</c:v>
                </c:pt>
                <c:pt idx="106">
                  <c:v>98501.299523526512</c:v>
                </c:pt>
                <c:pt idx="107">
                  <c:v>99497.209997378435</c:v>
                </c:pt>
                <c:pt idx="108">
                  <c:v>100513.0386807074</c:v>
                </c:pt>
                <c:pt idx="109">
                  <c:v>101528.86736403636</c:v>
                </c:pt>
                <c:pt idx="110">
                  <c:v>102544.69604736532</c:v>
                </c:pt>
                <c:pt idx="111">
                  <c:v>103560.52473069428</c:v>
                </c:pt>
                <c:pt idx="112">
                  <c:v>104576.35341402324</c:v>
                </c:pt>
                <c:pt idx="113">
                  <c:v>105592.1820973522</c:v>
                </c:pt>
                <c:pt idx="114">
                  <c:v>106608.01078068116</c:v>
                </c:pt>
                <c:pt idx="115">
                  <c:v>107623.83946401012</c:v>
                </c:pt>
                <c:pt idx="116">
                  <c:v>108639.66814733908</c:v>
                </c:pt>
                <c:pt idx="117">
                  <c:v>109655.49683066804</c:v>
                </c:pt>
                <c:pt idx="118">
                  <c:v>110671.325513997</c:v>
                </c:pt>
                <c:pt idx="119">
                  <c:v>111687.15419732596</c:v>
                </c:pt>
                <c:pt idx="120">
                  <c:v>111687.15419732596</c:v>
                </c:pt>
                <c:pt idx="121">
                  <c:v>111687.15419732596</c:v>
                </c:pt>
                <c:pt idx="122">
                  <c:v>111687.15419732596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5-4976-9569-9D4DA0D08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142319"/>
        <c:axId val="1061145199"/>
      </c:lineChart>
      <c:catAx>
        <c:axId val="10611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45199"/>
        <c:crosses val="autoZero"/>
        <c:auto val="1"/>
        <c:lblAlgn val="ctr"/>
        <c:lblOffset val="100"/>
        <c:noMultiLvlLbl val="0"/>
      </c:catAx>
      <c:valAx>
        <c:axId val="10611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4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383380</xdr:colOff>
      <xdr:row>104</xdr:row>
      <xdr:rowOff>142875</xdr:rowOff>
    </xdr:from>
    <xdr:to>
      <xdr:col>26</xdr:col>
      <xdr:colOff>573880</xdr:colOff>
      <xdr:row>119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DD6513-352D-D80A-9AAE-1775C723E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3A05-9B17-4579-B896-0DA6DD7F5CA0}">
  <dimension ref="A2:S30"/>
  <sheetViews>
    <sheetView workbookViewId="0">
      <selection activeCell="F13" sqref="F13"/>
    </sheetView>
  </sheetViews>
  <sheetFormatPr defaultRowHeight="15" x14ac:dyDescent="0.25"/>
  <cols>
    <col min="5" max="5" width="12.5703125" customWidth="1"/>
    <col min="6" max="6" width="17.140625" customWidth="1"/>
  </cols>
  <sheetData>
    <row r="2" spans="1:19" x14ac:dyDescent="0.25">
      <c r="B2" t="s">
        <v>2</v>
      </c>
      <c r="C2" s="5">
        <v>0.05</v>
      </c>
      <c r="E2" t="s">
        <v>42</v>
      </c>
    </row>
    <row r="3" spans="1:19" x14ac:dyDescent="0.25">
      <c r="B3" t="s">
        <v>3</v>
      </c>
      <c r="C3" s="6">
        <v>850</v>
      </c>
      <c r="E3" s="15">
        <f>NPV(4%,D9:D19)</f>
        <v>12693.978102871984</v>
      </c>
      <c r="F3" s="14"/>
    </row>
    <row r="4" spans="1:19" x14ac:dyDescent="0.25">
      <c r="B4" t="s">
        <v>31</v>
      </c>
      <c r="C4" s="5">
        <v>0.02</v>
      </c>
    </row>
    <row r="5" spans="1:19" x14ac:dyDescent="0.25">
      <c r="B5" t="s">
        <v>15</v>
      </c>
      <c r="C5" s="6">
        <v>100000</v>
      </c>
    </row>
    <row r="6" spans="1:19" x14ac:dyDescent="0.25">
      <c r="B6" t="s">
        <v>41</v>
      </c>
      <c r="C6" s="5">
        <v>0.3</v>
      </c>
    </row>
    <row r="8" spans="1:19" x14ac:dyDescent="0.25">
      <c r="A8" t="s">
        <v>0</v>
      </c>
      <c r="B8" t="s">
        <v>39</v>
      </c>
      <c r="C8" t="s">
        <v>40</v>
      </c>
      <c r="D8" t="s">
        <v>18</v>
      </c>
      <c r="E8" t="s">
        <v>19</v>
      </c>
      <c r="I8" t="s">
        <v>0</v>
      </c>
      <c r="J8" t="s">
        <v>39</v>
      </c>
      <c r="K8" t="s">
        <v>40</v>
      </c>
      <c r="L8" t="s">
        <v>1</v>
      </c>
      <c r="M8" t="s">
        <v>18</v>
      </c>
      <c r="N8" t="s">
        <v>19</v>
      </c>
      <c r="P8" s="2"/>
      <c r="Q8" s="2"/>
      <c r="R8" s="2"/>
      <c r="S8" s="2"/>
    </row>
    <row r="9" spans="1:19" x14ac:dyDescent="0.25">
      <c r="A9">
        <v>0</v>
      </c>
      <c r="B9" s="11">
        <f>$C$5</f>
        <v>100000</v>
      </c>
      <c r="C9" s="11"/>
      <c r="D9" s="16"/>
      <c r="I9" s="2">
        <v>0</v>
      </c>
      <c r="J9" s="2">
        <v>100000</v>
      </c>
      <c r="K9" s="2">
        <v>0</v>
      </c>
      <c r="L9" s="2">
        <v>0</v>
      </c>
      <c r="M9" s="2">
        <v>0</v>
      </c>
      <c r="N9" s="2">
        <v>0</v>
      </c>
      <c r="P9" s="2"/>
      <c r="Q9" s="2"/>
      <c r="R9" s="2"/>
      <c r="S9" s="2"/>
    </row>
    <row r="10" spans="1:19" x14ac:dyDescent="0.25">
      <c r="A10">
        <v>1</v>
      </c>
      <c r="B10" s="11">
        <f>B9*(1+$C$2)</f>
        <v>105000</v>
      </c>
      <c r="C10" s="11">
        <f>C9-($C$3*(1+$C$4)^($A10-1))*12</f>
        <v>-10200</v>
      </c>
      <c r="D10" s="11">
        <f t="shared" ref="D10:D18" si="0">C10-C9+(B10-B9)*(1-$C$6)</f>
        <v>-6700</v>
      </c>
      <c r="E10" s="11">
        <f>E9+D10</f>
        <v>-6700</v>
      </c>
      <c r="I10" s="2">
        <v>1</v>
      </c>
      <c r="J10" s="2">
        <v>105000</v>
      </c>
      <c r="K10" s="2">
        <v>-10293.165695346201</v>
      </c>
      <c r="L10" s="2">
        <v>94706.834304653807</v>
      </c>
      <c r="M10" s="2">
        <v>-6543.1656953461697</v>
      </c>
      <c r="N10" s="2">
        <v>-6543.1656953461697</v>
      </c>
      <c r="P10" s="2"/>
      <c r="Q10" s="2"/>
      <c r="R10" s="2"/>
      <c r="S10" s="2"/>
    </row>
    <row r="11" spans="1:19" x14ac:dyDescent="0.25">
      <c r="A11">
        <v>2</v>
      </c>
      <c r="B11" s="11">
        <f t="shared" ref="B11:B19" si="1">B10*(1+$C$2)</f>
        <v>110250</v>
      </c>
      <c r="C11" s="11">
        <f t="shared" ref="C11:C19" si="2">C10-($C$3*(1+$C$4)^($A11-1))*12</f>
        <v>-20604</v>
      </c>
      <c r="D11" s="11">
        <f t="shared" si="0"/>
        <v>-6729</v>
      </c>
      <c r="E11" s="11">
        <f t="shared" ref="E11:E19" si="3">E10+D11</f>
        <v>-13429</v>
      </c>
      <c r="I11" s="2">
        <v>2</v>
      </c>
      <c r="J11" s="2">
        <v>110250</v>
      </c>
      <c r="K11" s="2">
        <v>-20792.1947045993</v>
      </c>
      <c r="L11" s="2">
        <v>89457.8052954007</v>
      </c>
      <c r="M11" s="2">
        <v>-6561.5290092531004</v>
      </c>
      <c r="N11" s="2">
        <v>-13104.6947045992</v>
      </c>
      <c r="P11" s="2"/>
      <c r="Q11" s="2"/>
      <c r="R11" s="2"/>
      <c r="S11" s="2"/>
    </row>
    <row r="12" spans="1:19" x14ac:dyDescent="0.25">
      <c r="A12">
        <v>3</v>
      </c>
      <c r="B12" s="11">
        <f t="shared" si="1"/>
        <v>115762.5</v>
      </c>
      <c r="C12" s="11">
        <f t="shared" si="2"/>
        <v>-31216.080000000002</v>
      </c>
      <c r="D12" s="11">
        <f t="shared" si="0"/>
        <v>-6753.3300000000017</v>
      </c>
      <c r="E12" s="11">
        <f t="shared" si="3"/>
        <v>-20182.330000000002</v>
      </c>
      <c r="I12" s="2">
        <v>3</v>
      </c>
      <c r="J12" s="2">
        <v>115762.5</v>
      </c>
      <c r="K12" s="2">
        <v>-31501.204294037601</v>
      </c>
      <c r="L12" s="2">
        <v>84261.295705962606</v>
      </c>
      <c r="M12" s="2">
        <v>-6574.6345894381602</v>
      </c>
      <c r="N12" s="2">
        <v>-19679.329294037401</v>
      </c>
      <c r="P12" s="2"/>
      <c r="Q12" s="2"/>
      <c r="R12" s="2"/>
      <c r="S12" s="2"/>
    </row>
    <row r="13" spans="1:19" x14ac:dyDescent="0.25">
      <c r="A13">
        <v>4</v>
      </c>
      <c r="B13" s="11">
        <f t="shared" si="1"/>
        <v>121550.625</v>
      </c>
      <c r="C13" s="11">
        <f t="shared" si="2"/>
        <v>-42040.401599999997</v>
      </c>
      <c r="D13" s="11">
        <f t="shared" si="0"/>
        <v>-6772.6340999999957</v>
      </c>
      <c r="E13" s="11">
        <f t="shared" si="3"/>
        <v>-26954.964099999997</v>
      </c>
      <c r="I13" s="2">
        <v>4</v>
      </c>
      <c r="J13" s="2">
        <v>121550.625</v>
      </c>
      <c r="K13" s="2">
        <v>-42424.394075264601</v>
      </c>
      <c r="L13" s="2">
        <v>79126.230924735704</v>
      </c>
      <c r="M13" s="2">
        <v>-6582.0960312269199</v>
      </c>
      <c r="N13" s="2">
        <v>-26261.425325264299</v>
      </c>
      <c r="P13" s="2"/>
      <c r="Q13" s="2"/>
      <c r="R13" s="2"/>
      <c r="S13" s="2"/>
    </row>
    <row r="14" spans="1:19" x14ac:dyDescent="0.25">
      <c r="A14">
        <v>5</v>
      </c>
      <c r="B14" s="11">
        <f t="shared" si="1"/>
        <v>127628.15625</v>
      </c>
      <c r="C14" s="11">
        <f t="shared" si="2"/>
        <v>-53081.209631999998</v>
      </c>
      <c r="D14" s="11">
        <f t="shared" si="0"/>
        <v>-6786.5361570000014</v>
      </c>
      <c r="E14" s="11">
        <f t="shared" si="3"/>
        <v>-33741.500257</v>
      </c>
      <c r="I14" s="2">
        <v>5</v>
      </c>
      <c r="J14" s="2">
        <v>127628.15625</v>
      </c>
      <c r="K14" s="2">
        <v>-53566.047652116104</v>
      </c>
      <c r="L14" s="2">
        <v>74062.108597884304</v>
      </c>
      <c r="M14" s="2">
        <v>-6583.5051393514595</v>
      </c>
      <c r="N14" s="2">
        <v>-32844.930464615798</v>
      </c>
      <c r="P14" s="2"/>
      <c r="Q14" s="2"/>
      <c r="R14" s="2"/>
      <c r="S14" s="2"/>
    </row>
    <row r="15" spans="1:19" x14ac:dyDescent="0.25">
      <c r="A15">
        <v>6</v>
      </c>
      <c r="B15" s="11">
        <f t="shared" si="1"/>
        <v>134009.56406249999</v>
      </c>
      <c r="C15" s="11">
        <f t="shared" si="2"/>
        <v>-64342.833824639994</v>
      </c>
      <c r="D15" s="11">
        <f t="shared" si="0"/>
        <v>-6794.6387238900006</v>
      </c>
      <c r="E15" s="11">
        <f t="shared" si="3"/>
        <v>-40536.138980889998</v>
      </c>
      <c r="I15" s="2">
        <v>6</v>
      </c>
      <c r="J15" s="2">
        <v>134009.56406249999</v>
      </c>
      <c r="K15" s="2">
        <v>-64930.534300504703</v>
      </c>
      <c r="L15" s="2">
        <v>69079.0297619958</v>
      </c>
      <c r="M15" s="2">
        <v>-6578.4307890134896</v>
      </c>
      <c r="N15" s="2">
        <v>-39423.3612536293</v>
      </c>
      <c r="P15" s="2"/>
      <c r="Q15" s="2"/>
      <c r="R15" s="2"/>
      <c r="S15" s="2"/>
    </row>
    <row r="16" spans="1:19" x14ac:dyDescent="0.25">
      <c r="A16">
        <v>7</v>
      </c>
      <c r="B16" s="11">
        <f>B15*(1+$C$2)</f>
        <v>140710.042265625</v>
      </c>
      <c r="C16" s="11">
        <f t="shared" si="2"/>
        <v>-75829.690501132791</v>
      </c>
      <c r="D16" s="11">
        <f t="shared" si="0"/>
        <v>-6796.5219343052922</v>
      </c>
      <c r="E16" s="11">
        <f t="shared" si="3"/>
        <v>-47332.660915195287</v>
      </c>
      <c r="I16" s="2">
        <v>7</v>
      </c>
      <c r="J16" s="2">
        <v>140710.042265625</v>
      </c>
      <c r="K16" s="2">
        <v>-76522.310681860996</v>
      </c>
      <c r="L16" s="2">
        <v>64187.731583764602</v>
      </c>
      <c r="M16" s="2">
        <v>-6566.4177290125099</v>
      </c>
      <c r="N16" s="2">
        <v>-45989.778982641801</v>
      </c>
      <c r="P16" s="2"/>
      <c r="Q16" s="2"/>
      <c r="R16" s="2"/>
      <c r="S16" s="2"/>
    </row>
    <row r="17" spans="1:19" x14ac:dyDescent="0.25">
      <c r="A17">
        <v>8</v>
      </c>
      <c r="B17" s="11">
        <f t="shared" si="1"/>
        <v>147745.54437890626</v>
      </c>
      <c r="C17" s="11">
        <f t="shared" si="2"/>
        <v>-87546.284311155439</v>
      </c>
      <c r="D17" s="11">
        <f t="shared" si="0"/>
        <v>-6791.7423307257704</v>
      </c>
      <c r="E17" s="11">
        <f t="shared" si="3"/>
        <v>-54124.403245921058</v>
      </c>
      <c r="I17" s="2">
        <v>8</v>
      </c>
      <c r="J17" s="2">
        <v>147745.54437890701</v>
      </c>
      <c r="K17" s="2">
        <v>-88345.922590844493</v>
      </c>
      <c r="L17" s="2">
        <v>59399.621788062497</v>
      </c>
      <c r="M17" s="2">
        <v>-6546.9853240224502</v>
      </c>
      <c r="N17" s="2">
        <v>-52536.7643066643</v>
      </c>
      <c r="P17" s="2"/>
      <c r="Q17" s="2"/>
      <c r="R17" s="2"/>
      <c r="S17" s="2"/>
    </row>
    <row r="18" spans="1:19" x14ac:dyDescent="0.25">
      <c r="A18">
        <v>9</v>
      </c>
      <c r="B18" s="11">
        <f t="shared" si="1"/>
        <v>155132.82159785158</v>
      </c>
      <c r="C18" s="11">
        <f t="shared" si="2"/>
        <v>-99497.209997378552</v>
      </c>
      <c r="D18" s="11">
        <f t="shared" si="0"/>
        <v>-6779.8316329613854</v>
      </c>
      <c r="E18" s="11">
        <f t="shared" si="3"/>
        <v>-60904.234878882446</v>
      </c>
      <c r="I18" s="2">
        <v>9</v>
      </c>
      <c r="J18" s="2">
        <v>155132.82159785199</v>
      </c>
      <c r="K18" s="2">
        <v>-100406.006738007</v>
      </c>
      <c r="L18" s="2">
        <v>54726.814859844802</v>
      </c>
      <c r="M18" s="2">
        <v>-6519.6262329540696</v>
      </c>
      <c r="N18" s="2">
        <v>-59056.390539618304</v>
      </c>
    </row>
    <row r="19" spans="1:19" x14ac:dyDescent="0.25">
      <c r="A19">
        <v>10</v>
      </c>
      <c r="B19" s="11">
        <f t="shared" si="1"/>
        <v>162889.46267774416</v>
      </c>
      <c r="C19" s="11">
        <f t="shared" si="2"/>
        <v>-111687.15419732612</v>
      </c>
      <c r="D19" s="11">
        <f>C19-C18+(B19-B18)*(1-$C$6)+$C$5</f>
        <v>93239.704555977238</v>
      </c>
      <c r="E19" s="11">
        <f t="shared" si="3"/>
        <v>32335.469677094792</v>
      </c>
      <c r="I19" s="2">
        <v>10</v>
      </c>
      <c r="J19" s="2">
        <v>162889.462677745</v>
      </c>
      <c r="K19" s="2">
        <v>-112707.292568114</v>
      </c>
      <c r="L19" s="2">
        <v>50182.170109630999</v>
      </c>
      <c r="M19" s="2">
        <v>-6483.80502018689</v>
      </c>
      <c r="N19" s="2">
        <v>-65540.195559805201</v>
      </c>
    </row>
    <row r="23" spans="1:19" x14ac:dyDescent="0.25">
      <c r="I23" s="2">
        <v>0</v>
      </c>
      <c r="J23" s="2">
        <v>50000</v>
      </c>
      <c r="K23" s="2">
        <v>0</v>
      </c>
      <c r="L23" s="2">
        <v>50000</v>
      </c>
    </row>
    <row r="24" spans="1:19" x14ac:dyDescent="0.25">
      <c r="I24" s="2">
        <v>1</v>
      </c>
      <c r="J24" s="2">
        <v>52500</v>
      </c>
      <c r="K24" s="2">
        <v>9600</v>
      </c>
      <c r="L24" s="2">
        <v>42900</v>
      </c>
    </row>
    <row r="25" spans="1:19" x14ac:dyDescent="0.25">
      <c r="I25" s="2">
        <v>2</v>
      </c>
      <c r="J25" s="2">
        <v>55125</v>
      </c>
      <c r="K25" s="2">
        <v>19392</v>
      </c>
      <c r="L25" s="2">
        <v>35733</v>
      </c>
    </row>
    <row r="26" spans="1:19" x14ac:dyDescent="0.25">
      <c r="I26" s="2">
        <v>3</v>
      </c>
      <c r="J26" s="2">
        <v>57881.25</v>
      </c>
      <c r="K26" s="2">
        <v>29379.84</v>
      </c>
      <c r="L26" s="2">
        <v>28501.41</v>
      </c>
    </row>
    <row r="27" spans="1:19" x14ac:dyDescent="0.25">
      <c r="I27" s="2">
        <v>4</v>
      </c>
      <c r="J27" s="2">
        <v>60775.3125</v>
      </c>
      <c r="K27" s="2">
        <v>39567.436800000003</v>
      </c>
      <c r="L27" s="2">
        <v>21207.875700000001</v>
      </c>
    </row>
    <row r="28" spans="1:19" x14ac:dyDescent="0.25">
      <c r="I28" s="2">
        <v>5</v>
      </c>
      <c r="J28" s="2">
        <v>63814.078125</v>
      </c>
      <c r="K28" s="2">
        <v>49958.785536000003</v>
      </c>
      <c r="L28" s="2">
        <v>13855.292589000001</v>
      </c>
    </row>
    <row r="30" spans="1:19" x14ac:dyDescent="0.25">
      <c r="L30">
        <f>L28-50000</f>
        <v>-36144.707410999996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263E-C9E0-4C5D-A11C-FB7D5DCDA3C7}">
  <dimension ref="B1:AA139"/>
  <sheetViews>
    <sheetView topLeftCell="B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6" max="16" width="12.85546875" customWidth="1"/>
    <col min="22" max="22" width="11.28515625" bestFit="1" customWidth="1"/>
  </cols>
  <sheetData>
    <row r="1" spans="2:27" x14ac:dyDescent="0.25">
      <c r="F1" t="s">
        <v>0</v>
      </c>
      <c r="G1" t="s">
        <v>17</v>
      </c>
      <c r="H1" t="s">
        <v>4</v>
      </c>
      <c r="I1" t="s">
        <v>5</v>
      </c>
      <c r="J1" t="s">
        <v>6</v>
      </c>
      <c r="K1" t="s">
        <v>33</v>
      </c>
      <c r="L1" t="s">
        <v>28</v>
      </c>
      <c r="M1" t="s">
        <v>44</v>
      </c>
      <c r="N1" t="s">
        <v>54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2:27" x14ac:dyDescent="0.25">
      <c r="F2">
        <v>0</v>
      </c>
      <c r="G2">
        <v>0</v>
      </c>
      <c r="K2" s="16">
        <f>$C$11</f>
        <v>160000</v>
      </c>
      <c r="O2" s="16">
        <f>-$C$10</f>
        <v>-100000</v>
      </c>
      <c r="P2" s="17">
        <f>O2</f>
        <v>-100000</v>
      </c>
    </row>
    <row r="3" spans="2:27" x14ac:dyDescent="0.25">
      <c r="F3" s="2">
        <v>1</v>
      </c>
      <c r="G3" s="2">
        <v>1</v>
      </c>
      <c r="H3" s="10">
        <f t="shared" ref="H3:H34" si="0">-$C$14</f>
        <v>-887.35615656627056</v>
      </c>
      <c r="I3" s="11">
        <f>IF($G3=1,-K2*$D$12,I2)</f>
        <v>-400</v>
      </c>
      <c r="J3" s="10">
        <f>H3-I3</f>
        <v>-487.35615656627056</v>
      </c>
      <c r="K3" s="10">
        <f>K2+J3</f>
        <v>159512.64384343373</v>
      </c>
      <c r="L3" s="11">
        <f>-($C$15/12+$C$16/12+$C$17*$C$11/12+$C$18/12*(1+$C$19)^($F3-1)+$C$20*Q3/12)</f>
        <v>-438.33333333333331</v>
      </c>
      <c r="M3" s="11"/>
      <c r="N3" s="11"/>
      <c r="O3" s="12">
        <f>L3+H3</f>
        <v>-1325.6894898996038</v>
      </c>
      <c r="P3" s="10">
        <f>P2+O3</f>
        <v>-101325.68948989961</v>
      </c>
      <c r="Q3" s="13">
        <f>$C$4*(1+$C$21)^($F3)</f>
        <v>245999.99999999997</v>
      </c>
      <c r="R3" s="10">
        <f>K3</f>
        <v>159512.64384343373</v>
      </c>
      <c r="S3" s="10">
        <f>Q3-R3+P3</f>
        <v>-14838.333333333372</v>
      </c>
      <c r="U3" s="2"/>
      <c r="V3" s="2"/>
      <c r="W3" s="4"/>
      <c r="X3" s="2"/>
      <c r="Y3" s="2"/>
      <c r="Z3" s="2"/>
      <c r="AA3" s="2"/>
    </row>
    <row r="4" spans="2:27" x14ac:dyDescent="0.25">
      <c r="B4" t="s">
        <v>9</v>
      </c>
      <c r="C4">
        <v>240000</v>
      </c>
      <c r="F4" s="2">
        <v>1</v>
      </c>
      <c r="G4" s="2">
        <v>2</v>
      </c>
      <c r="H4" s="10">
        <f t="shared" si="0"/>
        <v>-887.35615656627056</v>
      </c>
      <c r="I4" s="11">
        <f>-K3*$D$12</f>
        <v>-398.78160960858435</v>
      </c>
      <c r="J4" s="10">
        <f>H4-I4</f>
        <v>-488.57454695768621</v>
      </c>
      <c r="K4" s="10">
        <f t="shared" ref="K4:K62" si="1">K3+J4</f>
        <v>159024.06929647605</v>
      </c>
      <c r="L4" s="11">
        <f t="shared" ref="L4:L34" si="2">-($C$15/12+$C$17*$C$11/12+$C$18/12*(1+$C$19)^($F4-1)+$C$20*Q4/12)</f>
        <v>-438.33333333333331</v>
      </c>
      <c r="M4" s="11"/>
      <c r="N4" s="11"/>
      <c r="O4" s="12">
        <f t="shared" ref="O4:O60" si="3">L4+H4</f>
        <v>-1325.6894898996038</v>
      </c>
      <c r="P4" s="10">
        <f>P3+O4</f>
        <v>-102651.37897979922</v>
      </c>
      <c r="Q4" s="13">
        <f t="shared" ref="Q4:Q62" si="4">$C$4*(1+$C$21)^($F4)</f>
        <v>245999.99999999997</v>
      </c>
      <c r="R4" s="10">
        <f t="shared" ref="R4:R60" si="5">K4</f>
        <v>159024.06929647605</v>
      </c>
      <c r="S4" s="10">
        <f t="shared" ref="S4:S18" si="6">Q4-R4+P4</f>
        <v>-15675.448276275303</v>
      </c>
      <c r="U4" s="2"/>
      <c r="V4" s="2"/>
      <c r="W4" s="4"/>
      <c r="X4" s="2"/>
      <c r="Y4" s="2"/>
      <c r="Z4" s="2"/>
      <c r="AA4" s="2"/>
    </row>
    <row r="5" spans="2:27" x14ac:dyDescent="0.25">
      <c r="B5" t="s">
        <v>10</v>
      </c>
      <c r="C5" s="7">
        <v>7.4999999999999997E-2</v>
      </c>
      <c r="F5" s="2">
        <v>1</v>
      </c>
      <c r="G5" s="2">
        <v>3</v>
      </c>
      <c r="H5" s="10">
        <f t="shared" si="0"/>
        <v>-887.35615656627056</v>
      </c>
      <c r="I5" s="11">
        <f>-K4*$D$12</f>
        <v>-397.56017324119011</v>
      </c>
      <c r="J5" s="10">
        <f t="shared" ref="J5:J60" si="7">H5-I5</f>
        <v>-489.79598332508044</v>
      </c>
      <c r="K5" s="10">
        <f t="shared" si="1"/>
        <v>158534.27331315097</v>
      </c>
      <c r="L5" s="11">
        <f t="shared" si="2"/>
        <v>-438.33333333333331</v>
      </c>
      <c r="M5" s="11"/>
      <c r="N5" s="11"/>
      <c r="O5" s="12">
        <f t="shared" si="3"/>
        <v>-1325.6894898996038</v>
      </c>
      <c r="P5" s="10">
        <f>P4+O5</f>
        <v>-103977.06846969883</v>
      </c>
      <c r="Q5" s="13">
        <f t="shared" si="4"/>
        <v>245999.99999999997</v>
      </c>
      <c r="R5" s="10">
        <f t="shared" si="5"/>
        <v>158534.27331315097</v>
      </c>
      <c r="S5" s="10">
        <f t="shared" si="6"/>
        <v>-16511.341782849835</v>
      </c>
      <c r="U5" s="2"/>
      <c r="V5" s="2"/>
      <c r="W5" s="4"/>
      <c r="X5" s="2"/>
      <c r="Y5" s="2"/>
      <c r="Z5" s="2"/>
      <c r="AA5" s="2"/>
    </row>
    <row r="6" spans="2:27" x14ac:dyDescent="0.25">
      <c r="B6" t="s">
        <v>11</v>
      </c>
      <c r="C6" s="7">
        <v>0</v>
      </c>
      <c r="F6" s="2">
        <v>1</v>
      </c>
      <c r="G6" s="2">
        <v>4</v>
      </c>
      <c r="H6" s="10">
        <f t="shared" si="0"/>
        <v>-887.35615656627056</v>
      </c>
      <c r="I6" s="11">
        <f t="shared" ref="I6:I62" si="8">-K5*$D$12</f>
        <v>-396.33568328287743</v>
      </c>
      <c r="J6" s="10">
        <f t="shared" si="7"/>
        <v>-491.02047328339313</v>
      </c>
      <c r="K6" s="10">
        <f t="shared" si="1"/>
        <v>158043.25283986758</v>
      </c>
      <c r="L6" s="11">
        <f t="shared" si="2"/>
        <v>-438.33333333333331</v>
      </c>
      <c r="M6" s="11"/>
      <c r="N6" s="11"/>
      <c r="O6" s="12">
        <f t="shared" si="3"/>
        <v>-1325.6894898996038</v>
      </c>
      <c r="P6" s="10">
        <f t="shared" ref="P6:P19" si="9">P5+O6</f>
        <v>-105302.75795959844</v>
      </c>
      <c r="Q6" s="13">
        <f t="shared" si="4"/>
        <v>245999.99999999997</v>
      </c>
      <c r="R6" s="10">
        <f t="shared" si="5"/>
        <v>158043.25283986758</v>
      </c>
      <c r="S6" s="10">
        <f t="shared" si="6"/>
        <v>-17346.01079946605</v>
      </c>
      <c r="U6" s="2"/>
      <c r="V6" s="2"/>
      <c r="W6" s="4"/>
      <c r="X6" s="2"/>
      <c r="Y6" s="2"/>
      <c r="Z6" s="2"/>
      <c r="AA6" s="2"/>
    </row>
    <row r="7" spans="2:27" x14ac:dyDescent="0.25">
      <c r="B7" t="s">
        <v>12</v>
      </c>
      <c r="C7">
        <v>2000</v>
      </c>
      <c r="F7" s="2">
        <v>1</v>
      </c>
      <c r="G7" s="2">
        <v>5</v>
      </c>
      <c r="H7" s="10">
        <f t="shared" si="0"/>
        <v>-887.35615656627056</v>
      </c>
      <c r="I7" s="11">
        <f t="shared" si="8"/>
        <v>-395.10813209966898</v>
      </c>
      <c r="J7" s="10">
        <f t="shared" si="7"/>
        <v>-492.24802446660158</v>
      </c>
      <c r="K7" s="10">
        <f t="shared" si="1"/>
        <v>157551.00481540099</v>
      </c>
      <c r="L7" s="11">
        <f t="shared" si="2"/>
        <v>-438.33333333333331</v>
      </c>
      <c r="M7" s="11"/>
      <c r="N7" s="11"/>
      <c r="O7" s="12">
        <f t="shared" si="3"/>
        <v>-1325.6894898996038</v>
      </c>
      <c r="P7" s="10">
        <f t="shared" si="9"/>
        <v>-106628.44744949805</v>
      </c>
      <c r="Q7" s="13">
        <f t="shared" si="4"/>
        <v>245999.99999999997</v>
      </c>
      <c r="R7" s="10">
        <f t="shared" si="5"/>
        <v>157551.00481540099</v>
      </c>
      <c r="S7" s="10">
        <f t="shared" si="6"/>
        <v>-18179.452264899068</v>
      </c>
      <c r="U7" s="2"/>
      <c r="V7" s="2"/>
      <c r="W7" s="4"/>
      <c r="X7" s="2"/>
      <c r="Y7" s="2"/>
      <c r="Z7" s="2"/>
      <c r="AA7" s="2"/>
    </row>
    <row r="8" spans="2:27" x14ac:dyDescent="0.25">
      <c r="B8" t="s">
        <v>13</v>
      </c>
      <c r="C8">
        <v>0</v>
      </c>
      <c r="F8" s="2">
        <v>1</v>
      </c>
      <c r="G8" s="2">
        <v>6</v>
      </c>
      <c r="H8" s="10">
        <f t="shared" si="0"/>
        <v>-887.35615656627056</v>
      </c>
      <c r="I8" s="11">
        <f t="shared" si="8"/>
        <v>-393.87751203850246</v>
      </c>
      <c r="J8" s="10">
        <f t="shared" si="7"/>
        <v>-493.4786445277681</v>
      </c>
      <c r="K8" s="10">
        <f t="shared" si="1"/>
        <v>157057.52617087323</v>
      </c>
      <c r="L8" s="11">
        <f t="shared" si="2"/>
        <v>-438.33333333333331</v>
      </c>
      <c r="M8" s="11"/>
      <c r="N8" s="11"/>
      <c r="O8" s="12">
        <f t="shared" si="3"/>
        <v>-1325.6894898996038</v>
      </c>
      <c r="P8" s="10">
        <f t="shared" si="9"/>
        <v>-107954.13693939766</v>
      </c>
      <c r="Q8" s="13">
        <f t="shared" si="4"/>
        <v>245999.99999999997</v>
      </c>
      <c r="R8" s="10">
        <f t="shared" si="5"/>
        <v>157057.52617087323</v>
      </c>
      <c r="S8" s="10">
        <f t="shared" si="6"/>
        <v>-19011.663110270922</v>
      </c>
      <c r="U8" s="2"/>
      <c r="V8" s="2"/>
      <c r="W8" s="4"/>
      <c r="X8" s="2"/>
      <c r="Y8" s="2"/>
      <c r="Z8" s="2"/>
      <c r="AA8" s="2"/>
    </row>
    <row r="9" spans="2:27" x14ac:dyDescent="0.25">
      <c r="B9" t="s">
        <v>14</v>
      </c>
      <c r="C9">
        <f>C4+(C5+C6)*C4+C7+C8</f>
        <v>260000</v>
      </c>
      <c r="F9" s="2">
        <v>1</v>
      </c>
      <c r="G9" s="2">
        <v>7</v>
      </c>
      <c r="H9" s="10">
        <f t="shared" si="0"/>
        <v>-887.35615656627056</v>
      </c>
      <c r="I9" s="11">
        <f t="shared" si="8"/>
        <v>-392.64381542718309</v>
      </c>
      <c r="J9" s="10">
        <f t="shared" si="7"/>
        <v>-494.71234113908747</v>
      </c>
      <c r="K9" s="10">
        <f t="shared" si="1"/>
        <v>156562.81382973414</v>
      </c>
      <c r="L9" s="11">
        <f t="shared" si="2"/>
        <v>-438.33333333333331</v>
      </c>
      <c r="M9" s="11"/>
      <c r="N9" s="11"/>
      <c r="O9" s="12">
        <f t="shared" si="3"/>
        <v>-1325.6894898996038</v>
      </c>
      <c r="P9" s="10">
        <f t="shared" si="9"/>
        <v>-109279.82642929727</v>
      </c>
      <c r="Q9" s="13">
        <f t="shared" si="4"/>
        <v>245999.99999999997</v>
      </c>
      <c r="R9" s="10">
        <f t="shared" si="5"/>
        <v>156562.81382973414</v>
      </c>
      <c r="S9" s="10">
        <f t="shared" si="6"/>
        <v>-19842.640259031439</v>
      </c>
      <c r="U9" s="2"/>
      <c r="V9" s="2"/>
      <c r="W9" s="4"/>
      <c r="X9" s="2"/>
      <c r="Y9" s="2"/>
      <c r="Z9" s="2"/>
      <c r="AA9" s="2"/>
    </row>
    <row r="10" spans="2:27" x14ac:dyDescent="0.25">
      <c r="B10" t="s">
        <v>15</v>
      </c>
      <c r="C10">
        <v>100000</v>
      </c>
      <c r="F10" s="2">
        <v>1</v>
      </c>
      <c r="G10" s="2">
        <v>8</v>
      </c>
      <c r="H10" s="10">
        <f t="shared" si="0"/>
        <v>-887.35615656627056</v>
      </c>
      <c r="I10" s="11">
        <f t="shared" si="8"/>
        <v>-391.40703457433534</v>
      </c>
      <c r="J10" s="10">
        <f t="shared" si="7"/>
        <v>-495.94912199193521</v>
      </c>
      <c r="K10" s="10">
        <f t="shared" si="1"/>
        <v>156066.86470774221</v>
      </c>
      <c r="L10" s="11">
        <f t="shared" si="2"/>
        <v>-438.33333333333331</v>
      </c>
      <c r="M10" s="11"/>
      <c r="N10" s="11"/>
      <c r="O10" s="12">
        <f t="shared" si="3"/>
        <v>-1325.6894898996038</v>
      </c>
      <c r="P10" s="10">
        <f t="shared" si="9"/>
        <v>-110605.51591919689</v>
      </c>
      <c r="Q10" s="13">
        <f t="shared" si="4"/>
        <v>245999.99999999997</v>
      </c>
      <c r="R10" s="10">
        <f t="shared" si="5"/>
        <v>156066.86470774221</v>
      </c>
      <c r="S10" s="10">
        <f t="shared" si="6"/>
        <v>-20672.380626939121</v>
      </c>
      <c r="U10" s="2"/>
      <c r="V10" s="2"/>
      <c r="W10" s="4"/>
      <c r="X10" s="2"/>
      <c r="Y10" s="2"/>
      <c r="Z10" s="2"/>
      <c r="AA10" s="2"/>
    </row>
    <row r="11" spans="2:27" x14ac:dyDescent="0.25">
      <c r="B11" t="s">
        <v>16</v>
      </c>
      <c r="C11">
        <f>C9-C10</f>
        <v>160000</v>
      </c>
      <c r="F11" s="2">
        <v>1</v>
      </c>
      <c r="G11" s="2">
        <v>9</v>
      </c>
      <c r="H11" s="10">
        <f t="shared" si="0"/>
        <v>-887.35615656627056</v>
      </c>
      <c r="I11" s="11">
        <f t="shared" si="8"/>
        <v>-390.16716176935552</v>
      </c>
      <c r="J11" s="10">
        <f t="shared" si="7"/>
        <v>-497.18899479691504</v>
      </c>
      <c r="K11" s="10">
        <f t="shared" si="1"/>
        <v>155569.67571294529</v>
      </c>
      <c r="L11" s="11">
        <f t="shared" si="2"/>
        <v>-438.33333333333331</v>
      </c>
      <c r="M11" s="11"/>
      <c r="N11" s="11"/>
      <c r="O11" s="12">
        <f t="shared" si="3"/>
        <v>-1325.6894898996038</v>
      </c>
      <c r="P11" s="10">
        <f t="shared" si="9"/>
        <v>-111931.2054090965</v>
      </c>
      <c r="Q11" s="13">
        <f t="shared" si="4"/>
        <v>245999.99999999997</v>
      </c>
      <c r="R11" s="10">
        <f t="shared" si="5"/>
        <v>155569.67571294529</v>
      </c>
      <c r="S11" s="10">
        <f t="shared" si="6"/>
        <v>-21500.881122041814</v>
      </c>
      <c r="U11" s="2"/>
      <c r="V11" s="2"/>
      <c r="W11" s="4"/>
      <c r="X11" s="2"/>
      <c r="Y11" s="2"/>
      <c r="Z11" s="2"/>
      <c r="AA11" s="2"/>
    </row>
    <row r="12" spans="2:27" x14ac:dyDescent="0.25">
      <c r="B12" t="s">
        <v>7</v>
      </c>
      <c r="C12" s="7">
        <v>0.03</v>
      </c>
      <c r="D12" s="9">
        <f>C12/12</f>
        <v>2.5000000000000001E-3</v>
      </c>
      <c r="E12" s="9"/>
      <c r="F12" s="2">
        <v>1</v>
      </c>
      <c r="G12" s="2">
        <v>10</v>
      </c>
      <c r="H12" s="10">
        <f t="shared" si="0"/>
        <v>-887.35615656627056</v>
      </c>
      <c r="I12" s="11">
        <f t="shared" si="8"/>
        <v>-388.92418928236322</v>
      </c>
      <c r="J12" s="10">
        <f t="shared" si="7"/>
        <v>-498.43196728390734</v>
      </c>
      <c r="K12" s="10">
        <f t="shared" si="1"/>
        <v>155071.24374566137</v>
      </c>
      <c r="L12" s="11">
        <f t="shared" si="2"/>
        <v>-438.33333333333331</v>
      </c>
      <c r="M12" s="11"/>
      <c r="N12" s="11"/>
      <c r="O12" s="12">
        <f t="shared" si="3"/>
        <v>-1325.6894898996038</v>
      </c>
      <c r="P12" s="10">
        <f t="shared" si="9"/>
        <v>-113256.89489899611</v>
      </c>
      <c r="Q12" s="13">
        <f t="shared" si="4"/>
        <v>245999.99999999997</v>
      </c>
      <c r="R12" s="10">
        <f t="shared" si="5"/>
        <v>155071.24374566137</v>
      </c>
      <c r="S12" s="10">
        <f t="shared" si="6"/>
        <v>-22328.138644657505</v>
      </c>
      <c r="U12" s="2"/>
      <c r="V12" s="2"/>
      <c r="W12" s="4"/>
      <c r="X12" s="2"/>
      <c r="Y12" s="2"/>
      <c r="Z12" s="2"/>
      <c r="AA12" s="2"/>
    </row>
    <row r="13" spans="2:27" x14ac:dyDescent="0.25">
      <c r="B13" t="s">
        <v>8</v>
      </c>
      <c r="C13">
        <v>20</v>
      </c>
      <c r="D13" s="8">
        <f>C13*12</f>
        <v>240</v>
      </c>
      <c r="E13" s="8"/>
      <c r="F13" s="2">
        <v>1</v>
      </c>
      <c r="G13" s="2">
        <v>11</v>
      </c>
      <c r="H13" s="10">
        <f t="shared" si="0"/>
        <v>-887.35615656627056</v>
      </c>
      <c r="I13" s="11">
        <f t="shared" si="8"/>
        <v>-387.67810936415344</v>
      </c>
      <c r="J13" s="10">
        <f t="shared" si="7"/>
        <v>-499.67804720211711</v>
      </c>
      <c r="K13" s="10">
        <f t="shared" si="1"/>
        <v>154571.56569845925</v>
      </c>
      <c r="L13" s="11">
        <f t="shared" si="2"/>
        <v>-438.33333333333331</v>
      </c>
      <c r="M13" s="11"/>
      <c r="N13" s="11"/>
      <c r="O13" s="12">
        <f t="shared" si="3"/>
        <v>-1325.6894898996038</v>
      </c>
      <c r="P13" s="10">
        <f t="shared" si="9"/>
        <v>-114582.58438889572</v>
      </c>
      <c r="Q13" s="13">
        <f t="shared" si="4"/>
        <v>245999.99999999997</v>
      </c>
      <c r="R13" s="10">
        <f t="shared" si="5"/>
        <v>154571.56569845925</v>
      </c>
      <c r="S13" s="10">
        <f t="shared" si="6"/>
        <v>-23154.150087354996</v>
      </c>
      <c r="U13" s="2"/>
      <c r="V13" s="2"/>
      <c r="W13" s="4"/>
      <c r="X13" s="2"/>
      <c r="Y13" s="2"/>
      <c r="Z13" s="2"/>
      <c r="AA13" s="2"/>
    </row>
    <row r="14" spans="2:27" x14ac:dyDescent="0.25">
      <c r="B14" t="s">
        <v>32</v>
      </c>
      <c r="C14" s="3">
        <f>C11*(D12*(1+D12)^D13)/((1+D12)^D13-1)</f>
        <v>887.35615656627056</v>
      </c>
      <c r="F14" s="2">
        <v>1</v>
      </c>
      <c r="G14" s="2">
        <v>12</v>
      </c>
      <c r="H14" s="10">
        <f t="shared" si="0"/>
        <v>-887.35615656627056</v>
      </c>
      <c r="I14" s="11">
        <f t="shared" si="8"/>
        <v>-386.42891424614811</v>
      </c>
      <c r="J14" s="10">
        <f t="shared" si="7"/>
        <v>-500.92724232012245</v>
      </c>
      <c r="K14" s="10">
        <f t="shared" si="1"/>
        <v>154070.63845613913</v>
      </c>
      <c r="L14" s="11">
        <f t="shared" si="2"/>
        <v>-438.33333333333331</v>
      </c>
      <c r="M14" s="11"/>
      <c r="N14" s="11"/>
      <c r="O14" s="12">
        <f t="shared" si="3"/>
        <v>-1325.6894898996038</v>
      </c>
      <c r="P14" s="10">
        <f t="shared" si="9"/>
        <v>-115908.27387879533</v>
      </c>
      <c r="Q14" s="13">
        <f t="shared" si="4"/>
        <v>245999.99999999997</v>
      </c>
      <c r="R14" s="10">
        <f t="shared" si="5"/>
        <v>154070.63845613913</v>
      </c>
      <c r="S14" s="10">
        <f t="shared" si="6"/>
        <v>-23978.912334934488</v>
      </c>
      <c r="U14" s="2"/>
      <c r="V14" s="2"/>
      <c r="W14" s="4"/>
      <c r="X14" s="2"/>
      <c r="Y14" s="2"/>
      <c r="Z14" s="2"/>
      <c r="AA14" s="2"/>
    </row>
    <row r="15" spans="2:27" x14ac:dyDescent="0.25">
      <c r="B15" t="s">
        <v>23</v>
      </c>
      <c r="C15" s="2">
        <v>1200</v>
      </c>
      <c r="F15" s="2">
        <f>F3+1</f>
        <v>2</v>
      </c>
      <c r="G15" s="2">
        <f>G3</f>
        <v>1</v>
      </c>
      <c r="H15" s="10">
        <f t="shared" si="0"/>
        <v>-887.35615656627056</v>
      </c>
      <c r="I15" s="11">
        <f t="shared" si="8"/>
        <v>-385.17659614034784</v>
      </c>
      <c r="J15" s="10">
        <f t="shared" si="7"/>
        <v>-502.17956042592272</v>
      </c>
      <c r="K15" s="10">
        <f t="shared" si="1"/>
        <v>153568.45889571321</v>
      </c>
      <c r="L15" s="11">
        <f t="shared" si="2"/>
        <v>-445.45833333333331</v>
      </c>
      <c r="M15" s="11"/>
      <c r="N15" s="11"/>
      <c r="O15" s="12">
        <f t="shared" si="3"/>
        <v>-1332.8144898996038</v>
      </c>
      <c r="P15" s="10">
        <f t="shared" si="9"/>
        <v>-117241.08836869494</v>
      </c>
      <c r="Q15" s="13">
        <f t="shared" si="4"/>
        <v>252149.99999999997</v>
      </c>
      <c r="R15" s="10">
        <f t="shared" si="5"/>
        <v>153568.45889571321</v>
      </c>
      <c r="S15" s="10">
        <f t="shared" si="6"/>
        <v>-18659.547264408175</v>
      </c>
      <c r="U15" s="2"/>
      <c r="V15" s="2"/>
      <c r="W15" s="4"/>
      <c r="X15" s="2"/>
      <c r="Y15" s="2"/>
      <c r="Z15" s="2"/>
      <c r="AA15" s="2"/>
    </row>
    <row r="16" spans="2:27" x14ac:dyDescent="0.25">
      <c r="B16" t="s">
        <v>24</v>
      </c>
      <c r="C16" s="2">
        <v>0</v>
      </c>
      <c r="F16" s="2">
        <f>F4+1</f>
        <v>2</v>
      </c>
      <c r="G16" s="2">
        <f>G4</f>
        <v>2</v>
      </c>
      <c r="H16" s="10">
        <f t="shared" si="0"/>
        <v>-887.35615656627056</v>
      </c>
      <c r="I16" s="11">
        <f t="shared" si="8"/>
        <v>-383.92114723928302</v>
      </c>
      <c r="J16" s="10">
        <f t="shared" si="7"/>
        <v>-503.43500932698754</v>
      </c>
      <c r="K16" s="10">
        <f t="shared" si="1"/>
        <v>153065.02388638622</v>
      </c>
      <c r="L16" s="11">
        <f t="shared" si="2"/>
        <v>-445.45833333333331</v>
      </c>
      <c r="M16" s="11"/>
      <c r="N16" s="11"/>
      <c r="O16" s="12">
        <f t="shared" si="3"/>
        <v>-1332.8144898996038</v>
      </c>
      <c r="P16" s="10">
        <f t="shared" si="9"/>
        <v>-118573.90285859455</v>
      </c>
      <c r="Q16" s="13">
        <f t="shared" si="4"/>
        <v>252149.99999999997</v>
      </c>
      <c r="R16" s="10">
        <f t="shared" si="5"/>
        <v>153065.02388638622</v>
      </c>
      <c r="S16" s="10">
        <f t="shared" si="6"/>
        <v>-19488.926744980796</v>
      </c>
      <c r="U16" s="2"/>
      <c r="V16" s="2"/>
      <c r="W16" s="4"/>
      <c r="X16" s="2"/>
      <c r="Y16" s="2"/>
      <c r="Z16" s="2"/>
      <c r="AA16" s="2"/>
    </row>
    <row r="17" spans="2:27" x14ac:dyDescent="0.25">
      <c r="B17" t="s">
        <v>25</v>
      </c>
      <c r="C17" s="7">
        <v>2.5000000000000001E-3</v>
      </c>
      <c r="F17" s="2">
        <f t="shared" ref="F17:F80" si="10">F5+1</f>
        <v>2</v>
      </c>
      <c r="G17" s="2">
        <f t="shared" ref="G17:G80" si="11">G5</f>
        <v>3</v>
      </c>
      <c r="H17" s="10">
        <f t="shared" si="0"/>
        <v>-887.35615656627056</v>
      </c>
      <c r="I17" s="11">
        <f t="shared" si="8"/>
        <v>-382.66255971596553</v>
      </c>
      <c r="J17" s="10">
        <f t="shared" si="7"/>
        <v>-504.69359685030503</v>
      </c>
      <c r="K17" s="10">
        <f t="shared" si="1"/>
        <v>152560.33028953592</v>
      </c>
      <c r="L17" s="11">
        <f t="shared" si="2"/>
        <v>-445.45833333333331</v>
      </c>
      <c r="M17" s="11"/>
      <c r="N17" s="11"/>
      <c r="O17" s="12">
        <f t="shared" si="3"/>
        <v>-1332.8144898996038</v>
      </c>
      <c r="P17" s="10">
        <f t="shared" si="9"/>
        <v>-119906.71734849416</v>
      </c>
      <c r="Q17" s="13">
        <f t="shared" si="4"/>
        <v>252149.99999999997</v>
      </c>
      <c r="R17" s="10">
        <f t="shared" si="5"/>
        <v>152560.33028953592</v>
      </c>
      <c r="S17" s="10">
        <f t="shared" si="6"/>
        <v>-20317.047638030112</v>
      </c>
      <c r="U17" s="2"/>
      <c r="V17" s="2"/>
      <c r="W17" s="4"/>
      <c r="X17" s="2"/>
      <c r="Y17" s="2"/>
      <c r="Z17" s="2"/>
      <c r="AA17" s="2"/>
    </row>
    <row r="18" spans="2:27" x14ac:dyDescent="0.25">
      <c r="B18" t="s">
        <v>26</v>
      </c>
      <c r="C18">
        <v>1200</v>
      </c>
      <c r="F18" s="2">
        <f t="shared" si="10"/>
        <v>2</v>
      </c>
      <c r="G18" s="2">
        <f t="shared" si="11"/>
        <v>4</v>
      </c>
      <c r="H18" s="10">
        <f t="shared" si="0"/>
        <v>-887.35615656627056</v>
      </c>
      <c r="I18" s="11">
        <f t="shared" si="8"/>
        <v>-381.40082572383983</v>
      </c>
      <c r="J18" s="10">
        <f t="shared" si="7"/>
        <v>-505.95533084243073</v>
      </c>
      <c r="K18" s="10">
        <f t="shared" si="1"/>
        <v>152054.37495869349</v>
      </c>
      <c r="L18" s="11">
        <f t="shared" si="2"/>
        <v>-445.45833333333331</v>
      </c>
      <c r="M18" s="11"/>
      <c r="N18" s="11"/>
      <c r="O18" s="12">
        <f t="shared" si="3"/>
        <v>-1332.8144898996038</v>
      </c>
      <c r="P18" s="10">
        <f t="shared" si="9"/>
        <v>-121239.53183839377</v>
      </c>
      <c r="Q18" s="13">
        <f t="shared" si="4"/>
        <v>252149.99999999997</v>
      </c>
      <c r="R18" s="10">
        <f t="shared" si="5"/>
        <v>152054.37495869349</v>
      </c>
      <c r="S18" s="10">
        <f t="shared" si="6"/>
        <v>-21143.906797087286</v>
      </c>
      <c r="U18" s="2"/>
      <c r="V18" s="2"/>
      <c r="W18" s="4"/>
      <c r="X18" s="2"/>
      <c r="Y18" s="2"/>
      <c r="Z18" s="2"/>
      <c r="AA18" s="2"/>
    </row>
    <row r="19" spans="2:27" x14ac:dyDescent="0.25">
      <c r="B19" t="s">
        <v>27</v>
      </c>
      <c r="C19" s="1">
        <v>0.02</v>
      </c>
      <c r="F19" s="2">
        <f t="shared" si="10"/>
        <v>2</v>
      </c>
      <c r="G19" s="2">
        <f t="shared" si="11"/>
        <v>5</v>
      </c>
      <c r="H19" s="10">
        <f t="shared" si="0"/>
        <v>-887.35615656627056</v>
      </c>
      <c r="I19" s="11">
        <f t="shared" si="8"/>
        <v>-380.13593739673371</v>
      </c>
      <c r="J19" s="10">
        <f t="shared" si="7"/>
        <v>-507.22021916953685</v>
      </c>
      <c r="K19" s="10">
        <f t="shared" si="1"/>
        <v>151547.15473952395</v>
      </c>
      <c r="L19" s="11">
        <f t="shared" si="2"/>
        <v>-445.45833333333331</v>
      </c>
      <c r="M19" s="11"/>
      <c r="N19" s="11"/>
      <c r="O19" s="12">
        <f t="shared" si="3"/>
        <v>-1332.8144898996038</v>
      </c>
      <c r="P19" s="10">
        <f t="shared" si="9"/>
        <v>-122572.34632829338</v>
      </c>
      <c r="Q19" s="13">
        <f t="shared" si="4"/>
        <v>252149.99999999997</v>
      </c>
      <c r="R19" s="10">
        <f t="shared" si="5"/>
        <v>151547.15473952395</v>
      </c>
      <c r="S19" s="10">
        <f>Q19-R19+P19</f>
        <v>-21969.501067817357</v>
      </c>
      <c r="U19" s="2"/>
      <c r="V19" s="2"/>
      <c r="W19" s="4"/>
      <c r="X19" s="2"/>
      <c r="Y19" s="2"/>
      <c r="Z19" s="2"/>
      <c r="AA19" s="2"/>
    </row>
    <row r="20" spans="2:27" x14ac:dyDescent="0.25">
      <c r="B20" t="s">
        <v>28</v>
      </c>
      <c r="C20" s="1">
        <v>0.01</v>
      </c>
      <c r="F20" s="2">
        <f t="shared" si="10"/>
        <v>2</v>
      </c>
      <c r="G20" s="2">
        <f t="shared" si="11"/>
        <v>6</v>
      </c>
      <c r="H20" s="10">
        <f t="shared" si="0"/>
        <v>-887.35615656627056</v>
      </c>
      <c r="I20" s="11">
        <f t="shared" si="8"/>
        <v>-378.86788684880986</v>
      </c>
      <c r="J20" s="10">
        <f t="shared" si="7"/>
        <v>-508.4882697174607</v>
      </c>
      <c r="K20" s="10">
        <f t="shared" si="1"/>
        <v>151038.66646980649</v>
      </c>
      <c r="L20" s="11">
        <f t="shared" si="2"/>
        <v>-445.45833333333331</v>
      </c>
      <c r="M20" s="11"/>
      <c r="N20" s="11"/>
      <c r="O20" s="12">
        <f t="shared" si="3"/>
        <v>-1332.8144898996038</v>
      </c>
      <c r="P20" s="10">
        <f t="shared" ref="P20:P60" si="12">P19+O20</f>
        <v>-123905.16081819299</v>
      </c>
      <c r="Q20" s="13">
        <f t="shared" si="4"/>
        <v>252149.99999999997</v>
      </c>
      <c r="R20" s="10">
        <f t="shared" si="5"/>
        <v>151038.66646980649</v>
      </c>
      <c r="S20" s="10">
        <f t="shared" ref="S20:S60" si="13">Q20-R20+P20</f>
        <v>-22793.827287999506</v>
      </c>
    </row>
    <row r="21" spans="2:27" x14ac:dyDescent="0.25">
      <c r="B21" t="s">
        <v>29</v>
      </c>
      <c r="C21" s="22">
        <v>2.5000000000000001E-2</v>
      </c>
      <c r="D21" s="9">
        <f>(1+C21)^(1/12)-1</f>
        <v>2.0598362698427408E-3</v>
      </c>
      <c r="F21" s="2">
        <f t="shared" si="10"/>
        <v>2</v>
      </c>
      <c r="G21" s="2">
        <f t="shared" si="11"/>
        <v>7</v>
      </c>
      <c r="H21" s="10">
        <f t="shared" si="0"/>
        <v>-887.35615656627056</v>
      </c>
      <c r="I21" s="11">
        <f t="shared" si="8"/>
        <v>-377.5966661745162</v>
      </c>
      <c r="J21" s="10">
        <f t="shared" si="7"/>
        <v>-509.75949039175435</v>
      </c>
      <c r="K21" s="10">
        <f t="shared" si="1"/>
        <v>150528.90697941472</v>
      </c>
      <c r="L21" s="11">
        <f t="shared" si="2"/>
        <v>-445.45833333333331</v>
      </c>
      <c r="M21" s="11"/>
      <c r="N21" s="11"/>
      <c r="O21" s="12">
        <f t="shared" si="3"/>
        <v>-1332.8144898996038</v>
      </c>
      <c r="P21" s="10">
        <f t="shared" si="12"/>
        <v>-125237.9753080926</v>
      </c>
      <c r="Q21" s="13">
        <f t="shared" si="4"/>
        <v>252149.99999999997</v>
      </c>
      <c r="R21" s="10">
        <f t="shared" si="5"/>
        <v>150528.90697941472</v>
      </c>
      <c r="S21" s="10">
        <f t="shared" si="13"/>
        <v>-23616.882287507353</v>
      </c>
    </row>
    <row r="22" spans="2:27" x14ac:dyDescent="0.25">
      <c r="B22" t="s">
        <v>30</v>
      </c>
      <c r="C22" s="1">
        <v>0.05</v>
      </c>
      <c r="F22" s="2">
        <f t="shared" si="10"/>
        <v>2</v>
      </c>
      <c r="G22" s="2">
        <f t="shared" si="11"/>
        <v>8</v>
      </c>
      <c r="H22" s="10">
        <f t="shared" si="0"/>
        <v>-887.35615656627056</v>
      </c>
      <c r="I22" s="11">
        <f t="shared" si="8"/>
        <v>-376.32226744853682</v>
      </c>
      <c r="J22" s="10">
        <f t="shared" si="7"/>
        <v>-511.03388911773374</v>
      </c>
      <c r="K22" s="10">
        <f t="shared" si="1"/>
        <v>150017.87309029698</v>
      </c>
      <c r="L22" s="11">
        <f t="shared" si="2"/>
        <v>-445.45833333333331</v>
      </c>
      <c r="M22" s="11"/>
      <c r="N22" s="11"/>
      <c r="O22" s="12">
        <f t="shared" si="3"/>
        <v>-1332.8144898996038</v>
      </c>
      <c r="P22" s="10">
        <f t="shared" si="12"/>
        <v>-126570.78979799221</v>
      </c>
      <c r="Q22" s="13">
        <f t="shared" si="4"/>
        <v>252149.99999999997</v>
      </c>
      <c r="R22" s="10">
        <f t="shared" si="5"/>
        <v>150017.87309029698</v>
      </c>
      <c r="S22" s="10">
        <f t="shared" si="13"/>
        <v>-24438.662888289226</v>
      </c>
    </row>
    <row r="23" spans="2:27" x14ac:dyDescent="0.25">
      <c r="F23" s="2">
        <f t="shared" si="10"/>
        <v>2</v>
      </c>
      <c r="G23" s="2">
        <f t="shared" si="11"/>
        <v>9</v>
      </c>
      <c r="H23" s="10">
        <f t="shared" si="0"/>
        <v>-887.35615656627056</v>
      </c>
      <c r="I23" s="11">
        <f t="shared" si="8"/>
        <v>-375.04468272574246</v>
      </c>
      <c r="J23" s="10">
        <f t="shared" si="7"/>
        <v>-512.31147384052815</v>
      </c>
      <c r="K23" s="10">
        <f t="shared" si="1"/>
        <v>149505.56161645646</v>
      </c>
      <c r="L23" s="11">
        <f t="shared" si="2"/>
        <v>-445.45833333333331</v>
      </c>
      <c r="M23" s="11"/>
      <c r="N23" s="11"/>
      <c r="O23" s="12">
        <f t="shared" si="3"/>
        <v>-1332.8144898996038</v>
      </c>
      <c r="P23" s="10">
        <f t="shared" si="12"/>
        <v>-127903.60428789182</v>
      </c>
      <c r="Q23" s="13">
        <f t="shared" si="4"/>
        <v>252149.99999999997</v>
      </c>
      <c r="R23" s="10">
        <f t="shared" si="5"/>
        <v>149505.56161645646</v>
      </c>
      <c r="S23" s="10">
        <f t="shared" si="13"/>
        <v>-25259.165904348309</v>
      </c>
      <c r="U23" s="2"/>
      <c r="V23" s="2"/>
      <c r="W23" s="4"/>
      <c r="X23" s="2"/>
      <c r="Y23" s="2"/>
      <c r="Z23" s="2"/>
      <c r="AA23" s="2"/>
    </row>
    <row r="24" spans="2:27" x14ac:dyDescent="0.25">
      <c r="F24" s="2">
        <f t="shared" si="10"/>
        <v>2</v>
      </c>
      <c r="G24" s="2">
        <f t="shared" si="11"/>
        <v>10</v>
      </c>
      <c r="H24" s="10">
        <f t="shared" si="0"/>
        <v>-887.35615656627056</v>
      </c>
      <c r="I24" s="11">
        <f t="shared" si="8"/>
        <v>-373.76390404114113</v>
      </c>
      <c r="J24" s="10">
        <f t="shared" si="7"/>
        <v>-513.59225252512942</v>
      </c>
      <c r="K24" s="10">
        <f t="shared" si="1"/>
        <v>148991.96936393133</v>
      </c>
      <c r="L24" s="11">
        <f t="shared" si="2"/>
        <v>-445.45833333333331</v>
      </c>
      <c r="M24" s="11"/>
      <c r="N24" s="11"/>
      <c r="O24" s="12">
        <f t="shared" si="3"/>
        <v>-1332.8144898996038</v>
      </c>
      <c r="P24" s="10">
        <f t="shared" si="12"/>
        <v>-129236.41877779143</v>
      </c>
      <c r="Q24" s="13">
        <f t="shared" si="4"/>
        <v>252149.99999999997</v>
      </c>
      <c r="R24" s="10">
        <f t="shared" si="5"/>
        <v>148991.96936393133</v>
      </c>
      <c r="S24" s="10">
        <f t="shared" si="13"/>
        <v>-26078.388141722797</v>
      </c>
      <c r="U24" s="2"/>
      <c r="V24" s="2"/>
      <c r="W24" s="12"/>
      <c r="X24" s="10"/>
      <c r="Y24" s="2"/>
      <c r="Z24" s="2"/>
      <c r="AA24" s="10"/>
    </row>
    <row r="25" spans="2:27" x14ac:dyDescent="0.25">
      <c r="B25" t="s">
        <v>35</v>
      </c>
      <c r="C25">
        <v>5</v>
      </c>
      <c r="F25" s="2">
        <f t="shared" si="10"/>
        <v>2</v>
      </c>
      <c r="G25" s="2">
        <f t="shared" si="11"/>
        <v>11</v>
      </c>
      <c r="H25" s="10">
        <f t="shared" si="0"/>
        <v>-887.35615656627056</v>
      </c>
      <c r="I25" s="11">
        <f t="shared" si="8"/>
        <v>-372.47992340982836</v>
      </c>
      <c r="J25" s="10">
        <f t="shared" si="7"/>
        <v>-514.87623315644214</v>
      </c>
      <c r="K25" s="10">
        <f t="shared" si="1"/>
        <v>148477.09313077488</v>
      </c>
      <c r="L25" s="11">
        <f t="shared" si="2"/>
        <v>-445.45833333333331</v>
      </c>
      <c r="M25" s="11"/>
      <c r="N25" s="11"/>
      <c r="O25" s="12">
        <f t="shared" si="3"/>
        <v>-1332.8144898996038</v>
      </c>
      <c r="P25" s="10">
        <f t="shared" si="12"/>
        <v>-130569.23326769104</v>
      </c>
      <c r="Q25" s="13">
        <f t="shared" si="4"/>
        <v>252149.99999999997</v>
      </c>
      <c r="R25" s="10">
        <f t="shared" si="5"/>
        <v>148477.09313077488</v>
      </c>
      <c r="S25" s="10">
        <f t="shared" si="13"/>
        <v>-26896.326398465957</v>
      </c>
      <c r="W25" s="4"/>
      <c r="X25" s="2"/>
    </row>
    <row r="26" spans="2:27" x14ac:dyDescent="0.25">
      <c r="B26" t="s">
        <v>36</v>
      </c>
      <c r="C26">
        <v>6</v>
      </c>
      <c r="F26" s="2">
        <f t="shared" si="10"/>
        <v>2</v>
      </c>
      <c r="G26" s="2">
        <f t="shared" si="11"/>
        <v>12</v>
      </c>
      <c r="H26" s="10">
        <f t="shared" si="0"/>
        <v>-887.35615656627056</v>
      </c>
      <c r="I26" s="11">
        <f t="shared" si="8"/>
        <v>-371.19273282693723</v>
      </c>
      <c r="J26" s="10">
        <f t="shared" si="7"/>
        <v>-516.16342373933333</v>
      </c>
      <c r="K26" s="10">
        <f t="shared" si="1"/>
        <v>147960.92970703554</v>
      </c>
      <c r="L26" s="11">
        <f t="shared" si="2"/>
        <v>-445.45833333333331</v>
      </c>
      <c r="M26" s="11"/>
      <c r="N26" s="11"/>
      <c r="O26" s="12">
        <f t="shared" si="3"/>
        <v>-1332.8144898996038</v>
      </c>
      <c r="P26" s="10">
        <f t="shared" si="12"/>
        <v>-131902.04775759066</v>
      </c>
      <c r="Q26" s="13">
        <f t="shared" si="4"/>
        <v>252149.99999999997</v>
      </c>
      <c r="R26" s="10">
        <f t="shared" si="5"/>
        <v>147960.92970703554</v>
      </c>
      <c r="S26" s="10">
        <f t="shared" si="13"/>
        <v>-27712.977464626223</v>
      </c>
    </row>
    <row r="27" spans="2:27" x14ac:dyDescent="0.25">
      <c r="F27" s="2">
        <f t="shared" si="10"/>
        <v>3</v>
      </c>
      <c r="G27" s="2">
        <f t="shared" si="11"/>
        <v>1</v>
      </c>
      <c r="H27" s="10">
        <f t="shared" si="0"/>
        <v>-887.35615656627056</v>
      </c>
      <c r="I27" s="11">
        <f t="shared" si="8"/>
        <v>-369.90232426758888</v>
      </c>
      <c r="J27" s="10">
        <f t="shared" si="7"/>
        <v>-517.45383229868162</v>
      </c>
      <c r="K27" s="10">
        <f t="shared" si="1"/>
        <v>147443.47587473685</v>
      </c>
      <c r="L27" s="11">
        <f t="shared" si="2"/>
        <v>-452.75145833333329</v>
      </c>
      <c r="M27" s="11"/>
      <c r="N27" s="11"/>
      <c r="O27" s="12">
        <f t="shared" si="3"/>
        <v>-1340.107614899604</v>
      </c>
      <c r="P27" s="10">
        <f t="shared" si="12"/>
        <v>-133242.15537249026</v>
      </c>
      <c r="Q27" s="13">
        <f t="shared" si="4"/>
        <v>258453.74999999997</v>
      </c>
      <c r="R27" s="10">
        <f t="shared" si="5"/>
        <v>147443.47587473685</v>
      </c>
      <c r="S27" s="10">
        <f t="shared" si="13"/>
        <v>-22231.881247227138</v>
      </c>
    </row>
    <row r="28" spans="2:27" x14ac:dyDescent="0.25">
      <c r="F28" s="2">
        <f t="shared" si="10"/>
        <v>3</v>
      </c>
      <c r="G28" s="2">
        <f t="shared" si="11"/>
        <v>2</v>
      </c>
      <c r="H28" s="10">
        <f t="shared" si="0"/>
        <v>-887.35615656627056</v>
      </c>
      <c r="I28" s="11">
        <f t="shared" si="8"/>
        <v>-368.60868968684213</v>
      </c>
      <c r="J28" s="10">
        <f t="shared" si="7"/>
        <v>-518.74746687942843</v>
      </c>
      <c r="K28" s="10">
        <f t="shared" si="1"/>
        <v>146924.72840785742</v>
      </c>
      <c r="L28" s="11">
        <f t="shared" si="2"/>
        <v>-452.75145833333329</v>
      </c>
      <c r="M28" s="11"/>
      <c r="N28" s="11"/>
      <c r="O28" s="12">
        <f t="shared" si="3"/>
        <v>-1340.107614899604</v>
      </c>
      <c r="P28" s="10">
        <f t="shared" si="12"/>
        <v>-134582.26298738987</v>
      </c>
      <c r="Q28" s="13">
        <f t="shared" si="4"/>
        <v>258453.74999999997</v>
      </c>
      <c r="R28" s="10">
        <f t="shared" si="5"/>
        <v>146924.72840785742</v>
      </c>
      <c r="S28" s="10">
        <f t="shared" si="13"/>
        <v>-23053.241395247314</v>
      </c>
    </row>
    <row r="29" spans="2:27" x14ac:dyDescent="0.25">
      <c r="B29" t="s">
        <v>37</v>
      </c>
      <c r="C29" s="3">
        <f>-6*$D$12*K62</f>
        <v>-1927.4103990276651</v>
      </c>
      <c r="F29" s="2">
        <f t="shared" si="10"/>
        <v>3</v>
      </c>
      <c r="G29" s="2">
        <f t="shared" si="11"/>
        <v>3</v>
      </c>
      <c r="H29" s="10">
        <f t="shared" si="0"/>
        <v>-887.35615656627056</v>
      </c>
      <c r="I29" s="11">
        <f t="shared" si="8"/>
        <v>-367.31182101964356</v>
      </c>
      <c r="J29" s="10">
        <f t="shared" si="7"/>
        <v>-520.04433554662705</v>
      </c>
      <c r="K29" s="10">
        <f t="shared" si="1"/>
        <v>146404.68407231077</v>
      </c>
      <c r="L29" s="11">
        <f t="shared" si="2"/>
        <v>-452.75145833333329</v>
      </c>
      <c r="M29" s="11"/>
      <c r="N29" s="11"/>
      <c r="O29" s="12">
        <f t="shared" si="3"/>
        <v>-1340.107614899604</v>
      </c>
      <c r="P29" s="10">
        <f t="shared" si="12"/>
        <v>-135922.37060228948</v>
      </c>
      <c r="Q29" s="13">
        <f t="shared" si="4"/>
        <v>258453.74999999997</v>
      </c>
      <c r="R29" s="10">
        <f t="shared" si="5"/>
        <v>146404.68407231077</v>
      </c>
      <c r="S29" s="10">
        <f t="shared" si="13"/>
        <v>-23873.30467460028</v>
      </c>
    </row>
    <row r="30" spans="2:27" x14ac:dyDescent="0.25">
      <c r="B30" t="s">
        <v>34</v>
      </c>
      <c r="C30" s="20">
        <f>Q62-$C$22*Q62-K62+C29</f>
        <v>127539.6355381904</v>
      </c>
      <c r="F30" s="2">
        <f t="shared" si="10"/>
        <v>3</v>
      </c>
      <c r="G30" s="2">
        <f t="shared" si="11"/>
        <v>4</v>
      </c>
      <c r="H30" s="10">
        <f t="shared" si="0"/>
        <v>-887.35615656627056</v>
      </c>
      <c r="I30" s="11">
        <f t="shared" si="8"/>
        <v>-366.01171018077696</v>
      </c>
      <c r="J30" s="10">
        <f t="shared" si="7"/>
        <v>-521.3444463854936</v>
      </c>
      <c r="K30" s="10">
        <f t="shared" si="1"/>
        <v>145883.33962592529</v>
      </c>
      <c r="L30" s="11">
        <f t="shared" si="2"/>
        <v>-452.75145833333329</v>
      </c>
      <c r="M30" s="11"/>
      <c r="N30" s="11"/>
      <c r="O30" s="12">
        <f t="shared" si="3"/>
        <v>-1340.107614899604</v>
      </c>
      <c r="P30" s="10">
        <f t="shared" si="12"/>
        <v>-137262.47821718908</v>
      </c>
      <c r="Q30" s="13">
        <f t="shared" si="4"/>
        <v>258453.74999999997</v>
      </c>
      <c r="R30" s="10">
        <f t="shared" si="5"/>
        <v>145883.33962592529</v>
      </c>
      <c r="S30" s="10">
        <f t="shared" si="13"/>
        <v>-24692.067843114404</v>
      </c>
    </row>
    <row r="31" spans="2:27" x14ac:dyDescent="0.25">
      <c r="F31" s="2">
        <f t="shared" si="10"/>
        <v>3</v>
      </c>
      <c r="G31" s="2">
        <f t="shared" si="11"/>
        <v>5</v>
      </c>
      <c r="H31" s="10">
        <f t="shared" si="0"/>
        <v>-887.35615656627056</v>
      </c>
      <c r="I31" s="11">
        <f t="shared" si="8"/>
        <v>-364.70834906481326</v>
      </c>
      <c r="J31" s="10">
        <f t="shared" si="7"/>
        <v>-522.64780750145724</v>
      </c>
      <c r="K31" s="10">
        <f t="shared" si="1"/>
        <v>145360.69181842383</v>
      </c>
      <c r="L31" s="11">
        <f t="shared" si="2"/>
        <v>-452.75145833333329</v>
      </c>
      <c r="M31" s="11"/>
      <c r="N31" s="11"/>
      <c r="O31" s="12">
        <f t="shared" si="3"/>
        <v>-1340.107614899604</v>
      </c>
      <c r="P31" s="10">
        <f t="shared" si="12"/>
        <v>-138602.58583208869</v>
      </c>
      <c r="Q31" s="13">
        <f t="shared" si="4"/>
        <v>258453.74999999997</v>
      </c>
      <c r="R31" s="10">
        <f t="shared" si="5"/>
        <v>145360.69181842383</v>
      </c>
      <c r="S31" s="10">
        <f t="shared" si="13"/>
        <v>-25509.527650512551</v>
      </c>
    </row>
    <row r="32" spans="2:27" x14ac:dyDescent="0.25">
      <c r="B32" t="s">
        <v>38</v>
      </c>
      <c r="C32" s="1">
        <v>0.05</v>
      </c>
      <c r="D32" s="19">
        <f>(1+C32)^(1/12)-1</f>
        <v>4.0741237836483535E-3</v>
      </c>
      <c r="F32" s="2">
        <f t="shared" si="10"/>
        <v>3</v>
      </c>
      <c r="G32" s="2">
        <f t="shared" si="11"/>
        <v>6</v>
      </c>
      <c r="H32" s="10">
        <f t="shared" si="0"/>
        <v>-887.35615656627056</v>
      </c>
      <c r="I32" s="11">
        <f t="shared" si="8"/>
        <v>-363.40172954605958</v>
      </c>
      <c r="J32" s="10">
        <f t="shared" si="7"/>
        <v>-523.95442702021091</v>
      </c>
      <c r="K32" s="10">
        <f t="shared" si="1"/>
        <v>144836.73739140361</v>
      </c>
      <c r="L32" s="11">
        <f t="shared" si="2"/>
        <v>-452.75145833333329</v>
      </c>
      <c r="M32" s="11"/>
      <c r="N32" s="11"/>
      <c r="O32" s="12">
        <f t="shared" si="3"/>
        <v>-1340.107614899604</v>
      </c>
      <c r="P32" s="10">
        <f t="shared" si="12"/>
        <v>-139942.6934469883</v>
      </c>
      <c r="Q32" s="13">
        <f t="shared" si="4"/>
        <v>258453.74999999997</v>
      </c>
      <c r="R32" s="10">
        <f t="shared" si="5"/>
        <v>144836.73739140361</v>
      </c>
      <c r="S32" s="10">
        <f t="shared" si="13"/>
        <v>-26325.680838391942</v>
      </c>
    </row>
    <row r="33" spans="2:19" x14ac:dyDescent="0.25">
      <c r="B33" t="s">
        <v>47</v>
      </c>
      <c r="C33" s="1">
        <v>0.25</v>
      </c>
      <c r="F33" s="2">
        <f t="shared" si="10"/>
        <v>3</v>
      </c>
      <c r="G33" s="2">
        <f t="shared" si="11"/>
        <v>7</v>
      </c>
      <c r="H33" s="10">
        <f t="shared" si="0"/>
        <v>-887.35615656627056</v>
      </c>
      <c r="I33" s="11">
        <f t="shared" si="8"/>
        <v>-362.09184347850902</v>
      </c>
      <c r="J33" s="10">
        <f t="shared" si="7"/>
        <v>-525.26431308776159</v>
      </c>
      <c r="K33" s="10">
        <f t="shared" si="1"/>
        <v>144311.47307831584</v>
      </c>
      <c r="L33" s="11">
        <f t="shared" si="2"/>
        <v>-452.75145833333329</v>
      </c>
      <c r="M33" s="11"/>
      <c r="N33" s="11"/>
      <c r="O33" s="12">
        <f t="shared" si="3"/>
        <v>-1340.107614899604</v>
      </c>
      <c r="P33" s="10">
        <f t="shared" si="12"/>
        <v>-141282.80106188791</v>
      </c>
      <c r="Q33" s="13">
        <f t="shared" si="4"/>
        <v>258453.74999999997</v>
      </c>
      <c r="R33" s="10">
        <f t="shared" si="5"/>
        <v>144311.47307831584</v>
      </c>
      <c r="S33" s="10">
        <f t="shared" si="13"/>
        <v>-27140.524140203779</v>
      </c>
    </row>
    <row r="34" spans="2:19" x14ac:dyDescent="0.25">
      <c r="B34" t="s">
        <v>45</v>
      </c>
      <c r="C34">
        <v>850</v>
      </c>
      <c r="F34" s="2">
        <f t="shared" si="10"/>
        <v>3</v>
      </c>
      <c r="G34" s="2">
        <f t="shared" si="11"/>
        <v>8</v>
      </c>
      <c r="H34" s="10">
        <f t="shared" si="0"/>
        <v>-887.35615656627056</v>
      </c>
      <c r="I34" s="11">
        <f t="shared" si="8"/>
        <v>-360.7786826957896</v>
      </c>
      <c r="J34" s="10">
        <f t="shared" si="7"/>
        <v>-526.57747387048096</v>
      </c>
      <c r="K34" s="10">
        <f t="shared" si="1"/>
        <v>143784.89560444537</v>
      </c>
      <c r="L34" s="11">
        <f t="shared" si="2"/>
        <v>-452.75145833333329</v>
      </c>
      <c r="M34" s="11"/>
      <c r="N34" s="11"/>
      <c r="O34" s="12">
        <f t="shared" si="3"/>
        <v>-1340.107614899604</v>
      </c>
      <c r="P34" s="10">
        <f t="shared" si="12"/>
        <v>-142622.90867678751</v>
      </c>
      <c r="Q34" s="13">
        <f t="shared" si="4"/>
        <v>258453.74999999997</v>
      </c>
      <c r="R34" s="10">
        <f t="shared" si="5"/>
        <v>143784.89560444537</v>
      </c>
      <c r="S34" s="10">
        <f t="shared" si="13"/>
        <v>-27954.054281232908</v>
      </c>
    </row>
    <row r="35" spans="2:19" x14ac:dyDescent="0.25">
      <c r="B35" t="s">
        <v>46</v>
      </c>
      <c r="C35" s="1">
        <v>0.02</v>
      </c>
      <c r="F35" s="2">
        <f t="shared" si="10"/>
        <v>3</v>
      </c>
      <c r="G35" s="2">
        <f t="shared" si="11"/>
        <v>9</v>
      </c>
      <c r="H35" s="10">
        <f t="shared" ref="H35:H62" si="14">-$C$14</f>
        <v>-887.35615656627056</v>
      </c>
      <c r="I35" s="11">
        <f t="shared" si="8"/>
        <v>-359.46223901111341</v>
      </c>
      <c r="J35" s="10">
        <f t="shared" si="7"/>
        <v>-527.89391755515715</v>
      </c>
      <c r="K35" s="10">
        <f t="shared" si="1"/>
        <v>143257.0016868902</v>
      </c>
      <c r="L35" s="11">
        <f t="shared" ref="L35:L62" si="15">-($C$15/12+$C$17*$C$11/12+$C$18/12*(1+$C$19)^($F35-1)+$C$20*Q35/12)</f>
        <v>-452.75145833333329</v>
      </c>
      <c r="M35" s="11"/>
      <c r="N35" s="11"/>
      <c r="O35" s="12">
        <f t="shared" si="3"/>
        <v>-1340.107614899604</v>
      </c>
      <c r="P35" s="10">
        <f t="shared" si="12"/>
        <v>-143963.01629168712</v>
      </c>
      <c r="Q35" s="13">
        <f t="shared" si="4"/>
        <v>258453.74999999997</v>
      </c>
      <c r="R35" s="10">
        <f t="shared" si="5"/>
        <v>143257.0016868902</v>
      </c>
      <c r="S35" s="10">
        <f t="shared" si="13"/>
        <v>-28766.267978577351</v>
      </c>
    </row>
    <row r="36" spans="2:19" x14ac:dyDescent="0.25">
      <c r="C36" s="3"/>
      <c r="F36" s="2">
        <f t="shared" si="10"/>
        <v>3</v>
      </c>
      <c r="G36" s="2">
        <f t="shared" si="11"/>
        <v>10</v>
      </c>
      <c r="H36" s="10">
        <f t="shared" si="14"/>
        <v>-887.35615656627056</v>
      </c>
      <c r="I36" s="11">
        <f t="shared" si="8"/>
        <v>-358.14250421722551</v>
      </c>
      <c r="J36" s="10">
        <f t="shared" si="7"/>
        <v>-529.21365234904511</v>
      </c>
      <c r="K36" s="10">
        <f t="shared" si="1"/>
        <v>142727.78803454115</v>
      </c>
      <c r="L36" s="11">
        <f t="shared" si="15"/>
        <v>-452.75145833333329</v>
      </c>
      <c r="M36" s="11"/>
      <c r="N36" s="11"/>
      <c r="O36" s="12">
        <f t="shared" si="3"/>
        <v>-1340.107614899604</v>
      </c>
      <c r="P36" s="10">
        <f t="shared" si="12"/>
        <v>-145303.12390658673</v>
      </c>
      <c r="Q36" s="13">
        <f t="shared" si="4"/>
        <v>258453.74999999997</v>
      </c>
      <c r="R36" s="10">
        <f t="shared" si="5"/>
        <v>142727.78803454115</v>
      </c>
      <c r="S36" s="10">
        <f t="shared" si="13"/>
        <v>-29577.16194112791</v>
      </c>
    </row>
    <row r="37" spans="2:19" x14ac:dyDescent="0.25">
      <c r="C37" s="3"/>
      <c r="F37" s="2">
        <f t="shared" si="10"/>
        <v>3</v>
      </c>
      <c r="G37" s="2">
        <f t="shared" si="11"/>
        <v>11</v>
      </c>
      <c r="H37" s="10">
        <f t="shared" si="14"/>
        <v>-887.35615656627056</v>
      </c>
      <c r="I37" s="11">
        <f t="shared" si="8"/>
        <v>-356.81947008635291</v>
      </c>
      <c r="J37" s="10">
        <f t="shared" si="7"/>
        <v>-530.53668647991765</v>
      </c>
      <c r="K37" s="10">
        <f t="shared" si="1"/>
        <v>142197.25134806123</v>
      </c>
      <c r="L37" s="11">
        <f t="shared" si="15"/>
        <v>-452.75145833333329</v>
      </c>
      <c r="M37" s="11"/>
      <c r="N37" s="11"/>
      <c r="O37" s="12">
        <f t="shared" si="3"/>
        <v>-1340.107614899604</v>
      </c>
      <c r="P37" s="10">
        <f t="shared" si="12"/>
        <v>-146643.23152148633</v>
      </c>
      <c r="Q37" s="13">
        <f t="shared" si="4"/>
        <v>258453.74999999997</v>
      </c>
      <c r="R37" s="10">
        <f t="shared" si="5"/>
        <v>142197.25134806123</v>
      </c>
      <c r="S37" s="10">
        <f t="shared" si="13"/>
        <v>-30386.732869547588</v>
      </c>
    </row>
    <row r="38" spans="2:19" x14ac:dyDescent="0.25">
      <c r="C38" s="3"/>
      <c r="F38" s="2">
        <f t="shared" si="10"/>
        <v>3</v>
      </c>
      <c r="G38" s="2">
        <f t="shared" si="11"/>
        <v>12</v>
      </c>
      <c r="H38" s="10">
        <f t="shared" si="14"/>
        <v>-887.35615656627056</v>
      </c>
      <c r="I38" s="11">
        <f t="shared" si="8"/>
        <v>-355.49312837015304</v>
      </c>
      <c r="J38" s="10">
        <f t="shared" si="7"/>
        <v>-531.86302819611751</v>
      </c>
      <c r="K38" s="10">
        <f t="shared" si="1"/>
        <v>141665.3883198651</v>
      </c>
      <c r="L38" s="11">
        <f t="shared" si="15"/>
        <v>-452.75145833333329</v>
      </c>
      <c r="M38" s="11"/>
      <c r="N38" s="11"/>
      <c r="O38" s="12">
        <f t="shared" si="3"/>
        <v>-1340.107614899604</v>
      </c>
      <c r="P38" s="10">
        <f t="shared" si="12"/>
        <v>-147983.33913638594</v>
      </c>
      <c r="Q38" s="13">
        <f t="shared" si="4"/>
        <v>258453.74999999997</v>
      </c>
      <c r="R38" s="10">
        <f t="shared" si="5"/>
        <v>141665.3883198651</v>
      </c>
      <c r="S38" s="10">
        <f t="shared" si="13"/>
        <v>-31194.977456251072</v>
      </c>
    </row>
    <row r="39" spans="2:19" x14ac:dyDescent="0.25">
      <c r="C39" s="3"/>
      <c r="F39" s="2">
        <f t="shared" si="10"/>
        <v>4</v>
      </c>
      <c r="G39" s="2">
        <f t="shared" si="11"/>
        <v>1</v>
      </c>
      <c r="H39" s="10">
        <f t="shared" si="14"/>
        <v>-887.35615656627056</v>
      </c>
      <c r="I39" s="11">
        <f t="shared" si="8"/>
        <v>-354.16347079966278</v>
      </c>
      <c r="J39" s="10">
        <f t="shared" si="7"/>
        <v>-533.19268576660784</v>
      </c>
      <c r="K39" s="10">
        <f t="shared" si="1"/>
        <v>141132.19563409849</v>
      </c>
      <c r="L39" s="11">
        <f t="shared" si="15"/>
        <v>-460.21671145833329</v>
      </c>
      <c r="M39" s="11"/>
      <c r="N39" s="11"/>
      <c r="O39" s="12">
        <f t="shared" si="3"/>
        <v>-1347.5728680246038</v>
      </c>
      <c r="P39" s="10">
        <f t="shared" si="12"/>
        <v>-149330.91200441055</v>
      </c>
      <c r="Q39" s="13">
        <f t="shared" si="4"/>
        <v>264915.09374999994</v>
      </c>
      <c r="R39" s="10">
        <f t="shared" si="5"/>
        <v>141132.19563409849</v>
      </c>
      <c r="S39" s="10">
        <f t="shared" si="13"/>
        <v>-25548.0138885091</v>
      </c>
    </row>
    <row r="40" spans="2:19" x14ac:dyDescent="0.25">
      <c r="C40" s="3"/>
      <c r="F40" s="2">
        <f t="shared" si="10"/>
        <v>4</v>
      </c>
      <c r="G40" s="2">
        <f t="shared" si="11"/>
        <v>2</v>
      </c>
      <c r="H40" s="10">
        <f t="shared" si="14"/>
        <v>-887.35615656627056</v>
      </c>
      <c r="I40" s="11">
        <f t="shared" si="8"/>
        <v>-352.83048908524626</v>
      </c>
      <c r="J40" s="10">
        <f t="shared" si="7"/>
        <v>-534.52566748102436</v>
      </c>
      <c r="K40" s="10">
        <f t="shared" si="1"/>
        <v>140597.66996661745</v>
      </c>
      <c r="L40" s="11">
        <f t="shared" si="15"/>
        <v>-460.21671145833329</v>
      </c>
      <c r="M40" s="11"/>
      <c r="N40" s="11"/>
      <c r="O40" s="12">
        <f t="shared" si="3"/>
        <v>-1347.5728680246038</v>
      </c>
      <c r="P40" s="10">
        <f t="shared" si="12"/>
        <v>-150678.48487243516</v>
      </c>
      <c r="Q40" s="13">
        <f t="shared" si="4"/>
        <v>264915.09374999994</v>
      </c>
      <c r="R40" s="10">
        <f t="shared" si="5"/>
        <v>140597.66996661745</v>
      </c>
      <c r="S40" s="10">
        <f t="shared" si="13"/>
        <v>-26361.061089052673</v>
      </c>
    </row>
    <row r="41" spans="2:19" x14ac:dyDescent="0.25">
      <c r="C41" s="3"/>
      <c r="F41" s="2">
        <f t="shared" si="10"/>
        <v>4</v>
      </c>
      <c r="G41" s="2">
        <f t="shared" si="11"/>
        <v>3</v>
      </c>
      <c r="H41" s="10">
        <f t="shared" si="14"/>
        <v>-887.35615656627056</v>
      </c>
      <c r="I41" s="11">
        <f t="shared" si="8"/>
        <v>-351.49417491654361</v>
      </c>
      <c r="J41" s="10">
        <f t="shared" si="7"/>
        <v>-535.86198164972689</v>
      </c>
      <c r="K41" s="10">
        <f t="shared" si="1"/>
        <v>140061.80798496772</v>
      </c>
      <c r="L41" s="11">
        <f t="shared" si="15"/>
        <v>-460.21671145833329</v>
      </c>
      <c r="M41" s="11"/>
      <c r="N41" s="11"/>
      <c r="O41" s="12">
        <f t="shared" si="3"/>
        <v>-1347.5728680246038</v>
      </c>
      <c r="P41" s="10">
        <f t="shared" si="12"/>
        <v>-152026.05774045977</v>
      </c>
      <c r="Q41" s="13">
        <f t="shared" si="4"/>
        <v>264915.09374999994</v>
      </c>
      <c r="R41" s="10">
        <f t="shared" si="5"/>
        <v>140061.80798496772</v>
      </c>
      <c r="S41" s="10">
        <f t="shared" si="13"/>
        <v>-27172.771975427546</v>
      </c>
    </row>
    <row r="42" spans="2:19" x14ac:dyDescent="0.25">
      <c r="C42" s="3"/>
      <c r="F42" s="2">
        <f t="shared" si="10"/>
        <v>4</v>
      </c>
      <c r="G42" s="2">
        <f t="shared" si="11"/>
        <v>4</v>
      </c>
      <c r="H42" s="10">
        <f t="shared" si="14"/>
        <v>-887.35615656627056</v>
      </c>
      <c r="I42" s="11">
        <f t="shared" si="8"/>
        <v>-350.15451996241927</v>
      </c>
      <c r="J42" s="10">
        <f t="shared" si="7"/>
        <v>-537.20163660385128</v>
      </c>
      <c r="K42" s="10">
        <f t="shared" si="1"/>
        <v>139524.60634836386</v>
      </c>
      <c r="L42" s="11">
        <f t="shared" si="15"/>
        <v>-460.21671145833329</v>
      </c>
      <c r="M42" s="11"/>
      <c r="N42" s="11"/>
      <c r="O42" s="12">
        <f t="shared" si="3"/>
        <v>-1347.5728680246038</v>
      </c>
      <c r="P42" s="10">
        <f t="shared" si="12"/>
        <v>-153373.63060848438</v>
      </c>
      <c r="Q42" s="13">
        <f t="shared" si="4"/>
        <v>264915.09374999994</v>
      </c>
      <c r="R42" s="10">
        <f t="shared" si="5"/>
        <v>139524.60634836386</v>
      </c>
      <c r="S42" s="10">
        <f t="shared" si="13"/>
        <v>-27983.143206848297</v>
      </c>
    </row>
    <row r="43" spans="2:19" x14ac:dyDescent="0.25">
      <c r="C43" s="3"/>
      <c r="F43" s="2">
        <f t="shared" si="10"/>
        <v>4</v>
      </c>
      <c r="G43" s="2">
        <f t="shared" si="11"/>
        <v>5</v>
      </c>
      <c r="H43" s="10">
        <f t="shared" si="14"/>
        <v>-887.35615656627056</v>
      </c>
      <c r="I43" s="11">
        <f t="shared" si="8"/>
        <v>-348.81151587090966</v>
      </c>
      <c r="J43" s="10">
        <f t="shared" si="7"/>
        <v>-538.54464069536084</v>
      </c>
      <c r="K43" s="10">
        <f t="shared" si="1"/>
        <v>138986.0617076685</v>
      </c>
      <c r="L43" s="11">
        <f t="shared" si="15"/>
        <v>-460.21671145833329</v>
      </c>
      <c r="M43" s="11"/>
      <c r="N43" s="11"/>
      <c r="O43" s="12">
        <f t="shared" si="3"/>
        <v>-1347.5728680246038</v>
      </c>
      <c r="P43" s="10">
        <f t="shared" si="12"/>
        <v>-154721.20347650899</v>
      </c>
      <c r="Q43" s="13">
        <f t="shared" si="4"/>
        <v>264915.09374999994</v>
      </c>
      <c r="R43" s="10">
        <f t="shared" si="5"/>
        <v>138986.0617076685</v>
      </c>
      <c r="S43" s="10">
        <f t="shared" si="13"/>
        <v>-28792.171434177551</v>
      </c>
    </row>
    <row r="44" spans="2:19" x14ac:dyDescent="0.25">
      <c r="C44" s="3"/>
      <c r="F44" s="2">
        <f t="shared" si="10"/>
        <v>4</v>
      </c>
      <c r="G44" s="2">
        <f t="shared" si="11"/>
        <v>6</v>
      </c>
      <c r="H44" s="10">
        <f t="shared" si="14"/>
        <v>-887.35615656627056</v>
      </c>
      <c r="I44" s="11">
        <f t="shared" si="8"/>
        <v>-347.46515426917125</v>
      </c>
      <c r="J44" s="10">
        <f t="shared" si="7"/>
        <v>-539.89100229709925</v>
      </c>
      <c r="K44" s="10">
        <f t="shared" si="1"/>
        <v>138446.17070537139</v>
      </c>
      <c r="L44" s="11">
        <f t="shared" si="15"/>
        <v>-460.21671145833329</v>
      </c>
      <c r="M44" s="11"/>
      <c r="N44" s="11"/>
      <c r="O44" s="12">
        <f t="shared" si="3"/>
        <v>-1347.5728680246038</v>
      </c>
      <c r="P44" s="10">
        <f t="shared" si="12"/>
        <v>-156068.7763445336</v>
      </c>
      <c r="Q44" s="13">
        <f t="shared" si="4"/>
        <v>264915.09374999994</v>
      </c>
      <c r="R44" s="10">
        <f t="shared" si="5"/>
        <v>138446.17070537139</v>
      </c>
      <c r="S44" s="10">
        <f t="shared" si="13"/>
        <v>-29599.853299905051</v>
      </c>
    </row>
    <row r="45" spans="2:19" x14ac:dyDescent="0.25">
      <c r="C45" s="3"/>
      <c r="F45" s="2">
        <f t="shared" si="10"/>
        <v>4</v>
      </c>
      <c r="G45" s="2">
        <f t="shared" si="11"/>
        <v>7</v>
      </c>
      <c r="H45" s="10">
        <f t="shared" si="14"/>
        <v>-887.35615656627056</v>
      </c>
      <c r="I45" s="11">
        <f t="shared" si="8"/>
        <v>-346.1154267634285</v>
      </c>
      <c r="J45" s="10">
        <f t="shared" si="7"/>
        <v>-541.240729802842</v>
      </c>
      <c r="K45" s="10">
        <f t="shared" si="1"/>
        <v>137904.92997556855</v>
      </c>
      <c r="L45" s="11">
        <f t="shared" si="15"/>
        <v>-460.21671145833329</v>
      </c>
      <c r="M45" s="11"/>
      <c r="N45" s="11"/>
      <c r="O45" s="12">
        <f t="shared" si="3"/>
        <v>-1347.5728680246038</v>
      </c>
      <c r="P45" s="10">
        <f t="shared" si="12"/>
        <v>-157416.34921255821</v>
      </c>
      <c r="Q45" s="13">
        <f t="shared" si="4"/>
        <v>264915.09374999994</v>
      </c>
      <c r="R45" s="10">
        <f t="shared" si="5"/>
        <v>137904.92997556855</v>
      </c>
      <c r="S45" s="10">
        <f t="shared" si="13"/>
        <v>-30406.18543812682</v>
      </c>
    </row>
    <row r="46" spans="2:19" x14ac:dyDescent="0.25">
      <c r="C46" s="3"/>
      <c r="F46" s="2">
        <f t="shared" si="10"/>
        <v>4</v>
      </c>
      <c r="G46" s="2">
        <f t="shared" si="11"/>
        <v>8</v>
      </c>
      <c r="H46" s="10">
        <f t="shared" si="14"/>
        <v>-887.35615656627056</v>
      </c>
      <c r="I46" s="11">
        <f t="shared" si="8"/>
        <v>-344.76232493892138</v>
      </c>
      <c r="J46" s="10">
        <f t="shared" si="7"/>
        <v>-542.59383162734912</v>
      </c>
      <c r="K46" s="10">
        <f t="shared" si="1"/>
        <v>137362.33614394121</v>
      </c>
      <c r="L46" s="11">
        <f t="shared" si="15"/>
        <v>-460.21671145833329</v>
      </c>
      <c r="M46" s="11"/>
      <c r="N46" s="11"/>
      <c r="O46" s="12">
        <f t="shared" si="3"/>
        <v>-1347.5728680246038</v>
      </c>
      <c r="P46" s="10">
        <f t="shared" si="12"/>
        <v>-158763.92208058282</v>
      </c>
      <c r="Q46" s="13">
        <f t="shared" si="4"/>
        <v>264915.09374999994</v>
      </c>
      <c r="R46" s="10">
        <f t="shared" si="5"/>
        <v>137362.33614394121</v>
      </c>
      <c r="S46" s="10">
        <f t="shared" si="13"/>
        <v>-31211.164474524092</v>
      </c>
    </row>
    <row r="47" spans="2:19" x14ac:dyDescent="0.25">
      <c r="F47" s="2">
        <f t="shared" si="10"/>
        <v>4</v>
      </c>
      <c r="G47" s="2">
        <f t="shared" si="11"/>
        <v>9</v>
      </c>
      <c r="H47" s="10">
        <f t="shared" si="14"/>
        <v>-887.35615656627056</v>
      </c>
      <c r="I47" s="11">
        <f t="shared" si="8"/>
        <v>-343.40584035985302</v>
      </c>
      <c r="J47" s="10">
        <f t="shared" si="7"/>
        <v>-543.95031620641748</v>
      </c>
      <c r="K47" s="10">
        <f t="shared" si="1"/>
        <v>136818.3858277348</v>
      </c>
      <c r="L47" s="11">
        <f t="shared" si="15"/>
        <v>-460.21671145833329</v>
      </c>
      <c r="M47" s="11"/>
      <c r="N47" s="11"/>
      <c r="O47" s="12">
        <f t="shared" si="3"/>
        <v>-1347.5728680246038</v>
      </c>
      <c r="P47" s="10">
        <f t="shared" si="12"/>
        <v>-160111.49494860743</v>
      </c>
      <c r="Q47" s="13">
        <f t="shared" si="4"/>
        <v>264915.09374999994</v>
      </c>
      <c r="R47" s="10">
        <f t="shared" si="5"/>
        <v>136818.3858277348</v>
      </c>
      <c r="S47" s="10">
        <f t="shared" si="13"/>
        <v>-32014.787026342296</v>
      </c>
    </row>
    <row r="48" spans="2:19" x14ac:dyDescent="0.25">
      <c r="F48" s="2">
        <f t="shared" si="10"/>
        <v>4</v>
      </c>
      <c r="G48" s="2">
        <f t="shared" si="11"/>
        <v>10</v>
      </c>
      <c r="H48" s="10">
        <f t="shared" si="14"/>
        <v>-887.35615656627056</v>
      </c>
      <c r="I48" s="11">
        <f t="shared" si="8"/>
        <v>-342.045964569337</v>
      </c>
      <c r="J48" s="10">
        <f t="shared" si="7"/>
        <v>-545.31019199693355</v>
      </c>
      <c r="K48" s="10">
        <f t="shared" si="1"/>
        <v>136273.07563573789</v>
      </c>
      <c r="L48" s="11">
        <f t="shared" si="15"/>
        <v>-460.21671145833329</v>
      </c>
      <c r="M48" s="11"/>
      <c r="N48" s="11"/>
      <c r="O48" s="12">
        <f t="shared" si="3"/>
        <v>-1347.5728680246038</v>
      </c>
      <c r="P48" s="10">
        <f t="shared" si="12"/>
        <v>-161459.06781663204</v>
      </c>
      <c r="Q48" s="13">
        <f t="shared" si="4"/>
        <v>264915.09374999994</v>
      </c>
      <c r="R48" s="10">
        <f t="shared" si="5"/>
        <v>136273.07563573789</v>
      </c>
      <c r="S48" s="10">
        <f t="shared" si="13"/>
        <v>-32817.049702369986</v>
      </c>
    </row>
    <row r="49" spans="4:19" x14ac:dyDescent="0.25">
      <c r="F49" s="2">
        <f t="shared" si="10"/>
        <v>4</v>
      </c>
      <c r="G49" s="2">
        <f t="shared" si="11"/>
        <v>11</v>
      </c>
      <c r="H49" s="10">
        <f t="shared" si="14"/>
        <v>-887.35615656627056</v>
      </c>
      <c r="I49" s="11">
        <f t="shared" si="8"/>
        <v>-340.68268908934471</v>
      </c>
      <c r="J49" s="10">
        <f t="shared" si="7"/>
        <v>-546.67346747692591</v>
      </c>
      <c r="K49" s="10">
        <f t="shared" si="1"/>
        <v>135726.40216826095</v>
      </c>
      <c r="L49" s="11">
        <f t="shared" si="15"/>
        <v>-460.21671145833329</v>
      </c>
      <c r="M49" s="11"/>
      <c r="N49" s="11"/>
      <c r="O49" s="12">
        <f t="shared" si="3"/>
        <v>-1347.5728680246038</v>
      </c>
      <c r="P49" s="10">
        <f t="shared" si="12"/>
        <v>-162806.64068465665</v>
      </c>
      <c r="Q49" s="13">
        <f t="shared" si="4"/>
        <v>264915.09374999994</v>
      </c>
      <c r="R49" s="10">
        <f t="shared" si="5"/>
        <v>135726.40216826095</v>
      </c>
      <c r="S49" s="10">
        <f t="shared" si="13"/>
        <v>-33617.949102917657</v>
      </c>
    </row>
    <row r="50" spans="4:19" x14ac:dyDescent="0.25">
      <c r="F50" s="2">
        <f t="shared" si="10"/>
        <v>4</v>
      </c>
      <c r="G50" s="2">
        <f t="shared" si="11"/>
        <v>12</v>
      </c>
      <c r="H50" s="10">
        <f t="shared" si="14"/>
        <v>-887.35615656627056</v>
      </c>
      <c r="I50" s="11">
        <f t="shared" si="8"/>
        <v>-339.31600542065235</v>
      </c>
      <c r="J50" s="10">
        <f t="shared" si="7"/>
        <v>-548.04015114561821</v>
      </c>
      <c r="K50" s="10">
        <f t="shared" si="1"/>
        <v>135178.36201711532</v>
      </c>
      <c r="L50" s="11">
        <f t="shared" si="15"/>
        <v>-460.21671145833329</v>
      </c>
      <c r="M50" s="11"/>
      <c r="N50" s="11"/>
      <c r="O50" s="12">
        <f t="shared" si="3"/>
        <v>-1347.5728680246038</v>
      </c>
      <c r="P50" s="10">
        <f t="shared" si="12"/>
        <v>-164154.21355268126</v>
      </c>
      <c r="Q50" s="13">
        <f t="shared" si="4"/>
        <v>264915.09374999994</v>
      </c>
      <c r="R50" s="10">
        <f t="shared" si="5"/>
        <v>135178.36201711532</v>
      </c>
      <c r="S50" s="10">
        <f t="shared" si="13"/>
        <v>-34417.481819796638</v>
      </c>
    </row>
    <row r="51" spans="4:19" x14ac:dyDescent="0.25">
      <c r="F51" s="2">
        <f t="shared" si="10"/>
        <v>5</v>
      </c>
      <c r="G51" s="2">
        <f t="shared" si="11"/>
        <v>1</v>
      </c>
      <c r="H51" s="10">
        <f t="shared" si="14"/>
        <v>-887.35615656627056</v>
      </c>
      <c r="I51" s="11">
        <f t="shared" si="8"/>
        <v>-337.9459050427883</v>
      </c>
      <c r="J51" s="10">
        <f t="shared" si="7"/>
        <v>-549.4102515234822</v>
      </c>
      <c r="K51" s="10">
        <f t="shared" si="1"/>
        <v>134628.95176559183</v>
      </c>
      <c r="L51" s="11">
        <f t="shared" si="15"/>
        <v>-467.85819191145822</v>
      </c>
      <c r="M51" s="11"/>
      <c r="N51" s="11"/>
      <c r="O51" s="12">
        <f t="shared" si="3"/>
        <v>-1355.2143484777289</v>
      </c>
      <c r="P51" s="10">
        <f t="shared" si="12"/>
        <v>-165509.42790115898</v>
      </c>
      <c r="Q51" s="13">
        <f t="shared" si="4"/>
        <v>271537.97109374992</v>
      </c>
      <c r="R51" s="10">
        <f t="shared" si="5"/>
        <v>134628.95176559183</v>
      </c>
      <c r="S51" s="10">
        <f t="shared" si="13"/>
        <v>-28600.408573000896</v>
      </c>
    </row>
    <row r="52" spans="4:19" x14ac:dyDescent="0.25">
      <c r="F52" s="2">
        <f t="shared" si="10"/>
        <v>5</v>
      </c>
      <c r="G52" s="2">
        <f t="shared" si="11"/>
        <v>2</v>
      </c>
      <c r="H52" s="10">
        <f t="shared" si="14"/>
        <v>-887.35615656627056</v>
      </c>
      <c r="I52" s="11">
        <f t="shared" si="8"/>
        <v>-336.5723794139796</v>
      </c>
      <c r="J52" s="10">
        <f t="shared" si="7"/>
        <v>-550.7837771522909</v>
      </c>
      <c r="K52" s="10">
        <f t="shared" si="1"/>
        <v>134078.16798843953</v>
      </c>
      <c r="L52" s="11">
        <f t="shared" si="15"/>
        <v>-467.85819191145822</v>
      </c>
      <c r="M52" s="11"/>
      <c r="N52" s="11"/>
      <c r="O52" s="12">
        <f t="shared" si="3"/>
        <v>-1355.2143484777289</v>
      </c>
      <c r="P52" s="10">
        <f t="shared" si="12"/>
        <v>-166864.6422496367</v>
      </c>
      <c r="Q52" s="13">
        <f t="shared" si="4"/>
        <v>271537.97109374992</v>
      </c>
      <c r="R52" s="10">
        <f t="shared" si="5"/>
        <v>134078.16798843953</v>
      </c>
      <c r="S52" s="10">
        <f t="shared" si="13"/>
        <v>-29404.83914432631</v>
      </c>
    </row>
    <row r="53" spans="4:19" x14ac:dyDescent="0.25">
      <c r="F53" s="2">
        <f t="shared" si="10"/>
        <v>5</v>
      </c>
      <c r="G53" s="2">
        <f t="shared" si="11"/>
        <v>3</v>
      </c>
      <c r="H53" s="10">
        <f t="shared" si="14"/>
        <v>-887.35615656627056</v>
      </c>
      <c r="I53" s="11">
        <f t="shared" si="8"/>
        <v>-335.19541997109883</v>
      </c>
      <c r="J53" s="10">
        <f t="shared" si="7"/>
        <v>-552.16073659517178</v>
      </c>
      <c r="K53" s="10">
        <f t="shared" si="1"/>
        <v>133526.00725184436</v>
      </c>
      <c r="L53" s="11">
        <f t="shared" si="15"/>
        <v>-467.85819191145822</v>
      </c>
      <c r="M53" s="11"/>
      <c r="N53" s="11"/>
      <c r="O53" s="12">
        <f t="shared" si="3"/>
        <v>-1355.2143484777289</v>
      </c>
      <c r="P53" s="10">
        <f t="shared" si="12"/>
        <v>-168219.85659811442</v>
      </c>
      <c r="Q53" s="13">
        <f t="shared" si="4"/>
        <v>271537.97109374992</v>
      </c>
      <c r="R53" s="10">
        <f t="shared" si="5"/>
        <v>133526.00725184436</v>
      </c>
      <c r="S53" s="10">
        <f t="shared" si="13"/>
        <v>-30207.892756208865</v>
      </c>
    </row>
    <row r="54" spans="4:19" x14ac:dyDescent="0.25">
      <c r="F54" s="2">
        <f t="shared" si="10"/>
        <v>5</v>
      </c>
      <c r="G54" s="2">
        <f t="shared" si="11"/>
        <v>4</v>
      </c>
      <c r="H54" s="10">
        <f t="shared" si="14"/>
        <v>-887.35615656627056</v>
      </c>
      <c r="I54" s="11">
        <f t="shared" si="8"/>
        <v>-333.81501812961091</v>
      </c>
      <c r="J54" s="10">
        <f t="shared" si="7"/>
        <v>-553.54113843665959</v>
      </c>
      <c r="K54" s="10">
        <f t="shared" si="1"/>
        <v>132972.46611340772</v>
      </c>
      <c r="L54" s="11">
        <f t="shared" si="15"/>
        <v>-467.85819191145822</v>
      </c>
      <c r="M54" s="11"/>
      <c r="N54" s="11"/>
      <c r="O54" s="12">
        <f t="shared" si="3"/>
        <v>-1355.2143484777289</v>
      </c>
      <c r="P54" s="10">
        <f t="shared" si="12"/>
        <v>-169575.07094659214</v>
      </c>
      <c r="Q54" s="13">
        <f t="shared" si="4"/>
        <v>271537.97109374992</v>
      </c>
      <c r="R54" s="10">
        <f t="shared" si="5"/>
        <v>132972.46611340772</v>
      </c>
      <c r="S54" s="10">
        <f t="shared" si="13"/>
        <v>-31009.565966249938</v>
      </c>
    </row>
    <row r="55" spans="4:19" x14ac:dyDescent="0.25">
      <c r="F55" s="2">
        <f t="shared" si="10"/>
        <v>5</v>
      </c>
      <c r="G55" s="2">
        <f t="shared" si="11"/>
        <v>5</v>
      </c>
      <c r="H55" s="10">
        <f t="shared" si="14"/>
        <v>-887.35615656627056</v>
      </c>
      <c r="I55" s="11">
        <f t="shared" si="8"/>
        <v>-332.43116528351931</v>
      </c>
      <c r="J55" s="10">
        <f t="shared" si="7"/>
        <v>-554.92499128275131</v>
      </c>
      <c r="K55" s="10">
        <f t="shared" si="1"/>
        <v>132417.54112212497</v>
      </c>
      <c r="L55" s="11">
        <f t="shared" si="15"/>
        <v>-467.85819191145822</v>
      </c>
      <c r="M55" s="11"/>
      <c r="N55" s="11"/>
      <c r="O55" s="12">
        <f t="shared" si="3"/>
        <v>-1355.2143484777289</v>
      </c>
      <c r="P55" s="10">
        <f t="shared" si="12"/>
        <v>-170930.28529506986</v>
      </c>
      <c r="Q55" s="13">
        <f t="shared" si="4"/>
        <v>271537.97109374992</v>
      </c>
      <c r="R55" s="10">
        <f t="shared" si="5"/>
        <v>132417.54112212497</v>
      </c>
      <c r="S55" s="10">
        <f t="shared" si="13"/>
        <v>-31809.855323444906</v>
      </c>
    </row>
    <row r="56" spans="4:19" x14ac:dyDescent="0.25">
      <c r="F56" s="2">
        <f t="shared" si="10"/>
        <v>5</v>
      </c>
      <c r="G56" s="2">
        <f t="shared" si="11"/>
        <v>6</v>
      </c>
      <c r="H56" s="10">
        <f t="shared" si="14"/>
        <v>-887.35615656627056</v>
      </c>
      <c r="I56" s="11">
        <f t="shared" si="8"/>
        <v>-331.04385280531244</v>
      </c>
      <c r="J56" s="10">
        <f t="shared" si="7"/>
        <v>-556.31230376095812</v>
      </c>
      <c r="K56" s="10">
        <f t="shared" si="1"/>
        <v>131861.228818364</v>
      </c>
      <c r="L56" s="11">
        <f t="shared" si="15"/>
        <v>-467.85819191145822</v>
      </c>
      <c r="M56" s="11"/>
      <c r="N56" s="11"/>
      <c r="O56" s="12">
        <f t="shared" si="3"/>
        <v>-1355.2143484777289</v>
      </c>
      <c r="P56" s="10">
        <f t="shared" si="12"/>
        <v>-172285.49964354758</v>
      </c>
      <c r="Q56" s="13">
        <f t="shared" si="4"/>
        <v>271537.97109374992</v>
      </c>
      <c r="R56" s="10">
        <f t="shared" si="5"/>
        <v>131861.228818364</v>
      </c>
      <c r="S56" s="10">
        <f t="shared" si="13"/>
        <v>-32608.757368161663</v>
      </c>
    </row>
    <row r="57" spans="4:19" x14ac:dyDescent="0.25">
      <c r="F57" s="2">
        <f t="shared" si="10"/>
        <v>5</v>
      </c>
      <c r="G57" s="2">
        <f t="shared" si="11"/>
        <v>7</v>
      </c>
      <c r="H57" s="10">
        <f t="shared" si="14"/>
        <v>-887.35615656627056</v>
      </c>
      <c r="I57" s="11">
        <f t="shared" si="8"/>
        <v>-329.65307204590999</v>
      </c>
      <c r="J57" s="10">
        <f t="shared" si="7"/>
        <v>-557.70308452036056</v>
      </c>
      <c r="K57" s="10">
        <f t="shared" si="1"/>
        <v>131303.52573384365</v>
      </c>
      <c r="L57" s="11">
        <f t="shared" si="15"/>
        <v>-467.85819191145822</v>
      </c>
      <c r="M57" s="11"/>
      <c r="N57" s="11"/>
      <c r="O57" s="12">
        <f t="shared" si="3"/>
        <v>-1355.2143484777289</v>
      </c>
      <c r="P57" s="10">
        <f t="shared" si="12"/>
        <v>-173640.7139920253</v>
      </c>
      <c r="Q57" s="13">
        <f t="shared" si="4"/>
        <v>271537.97109374992</v>
      </c>
      <c r="R57" s="10">
        <f t="shared" si="5"/>
        <v>131303.52573384365</v>
      </c>
      <c r="S57" s="10">
        <f t="shared" si="13"/>
        <v>-33406.268632119027</v>
      </c>
    </row>
    <row r="58" spans="4:19" x14ac:dyDescent="0.25">
      <c r="F58" s="2">
        <f t="shared" si="10"/>
        <v>5</v>
      </c>
      <c r="G58" s="2">
        <f t="shared" si="11"/>
        <v>8</v>
      </c>
      <c r="H58" s="10">
        <f t="shared" si="14"/>
        <v>-887.35615656627056</v>
      </c>
      <c r="I58" s="11">
        <f t="shared" si="8"/>
        <v>-328.25881433460916</v>
      </c>
      <c r="J58" s="10">
        <f t="shared" si="7"/>
        <v>-559.0973422316614</v>
      </c>
      <c r="K58" s="10">
        <f t="shared" si="1"/>
        <v>130744.42839161199</v>
      </c>
      <c r="L58" s="11">
        <f t="shared" si="15"/>
        <v>-467.85819191145822</v>
      </c>
      <c r="M58" s="11"/>
      <c r="N58" s="11"/>
      <c r="O58" s="12">
        <f t="shared" si="3"/>
        <v>-1355.2143484777289</v>
      </c>
      <c r="P58" s="10">
        <f t="shared" si="12"/>
        <v>-174995.92834050301</v>
      </c>
      <c r="Q58" s="13">
        <f t="shared" si="4"/>
        <v>271537.97109374992</v>
      </c>
      <c r="R58" s="10">
        <f t="shared" si="5"/>
        <v>130744.42839161199</v>
      </c>
      <c r="S58" s="10">
        <f t="shared" si="13"/>
        <v>-34202.385638365085</v>
      </c>
    </row>
    <row r="59" spans="4:19" x14ac:dyDescent="0.25">
      <c r="F59" s="2">
        <f t="shared" si="10"/>
        <v>5</v>
      </c>
      <c r="G59" s="2">
        <f t="shared" si="11"/>
        <v>9</v>
      </c>
      <c r="H59" s="10">
        <f t="shared" si="14"/>
        <v>-887.35615656627056</v>
      </c>
      <c r="I59" s="11">
        <f t="shared" si="8"/>
        <v>-326.86107097902999</v>
      </c>
      <c r="J59" s="10">
        <f t="shared" si="7"/>
        <v>-560.49508558724051</v>
      </c>
      <c r="K59" s="10">
        <f t="shared" si="1"/>
        <v>130183.93330602474</v>
      </c>
      <c r="L59" s="11">
        <f t="shared" si="15"/>
        <v>-467.85819191145822</v>
      </c>
      <c r="M59" s="11"/>
      <c r="N59" s="11"/>
      <c r="O59" s="12">
        <f t="shared" si="3"/>
        <v>-1355.2143484777289</v>
      </c>
      <c r="P59" s="10">
        <f t="shared" si="12"/>
        <v>-176351.14268898073</v>
      </c>
      <c r="Q59" s="13">
        <f t="shared" si="4"/>
        <v>271537.97109374992</v>
      </c>
      <c r="R59" s="10">
        <f t="shared" si="5"/>
        <v>130183.93330602474</v>
      </c>
      <c r="S59" s="10">
        <f t="shared" si="13"/>
        <v>-34997.104901255574</v>
      </c>
    </row>
    <row r="60" spans="4:19" x14ac:dyDescent="0.25">
      <c r="F60" s="2">
        <f t="shared" si="10"/>
        <v>5</v>
      </c>
      <c r="G60" s="2">
        <f t="shared" si="11"/>
        <v>10</v>
      </c>
      <c r="H60" s="10">
        <f t="shared" si="14"/>
        <v>-887.35615656627056</v>
      </c>
      <c r="I60" s="11">
        <f t="shared" si="8"/>
        <v>-325.45983326506189</v>
      </c>
      <c r="J60" s="10">
        <f t="shared" si="7"/>
        <v>-561.89632330120867</v>
      </c>
      <c r="K60" s="10">
        <f t="shared" si="1"/>
        <v>129622.03698272354</v>
      </c>
      <c r="L60" s="11">
        <f t="shared" si="15"/>
        <v>-467.85819191145822</v>
      </c>
      <c r="M60" s="11"/>
      <c r="N60" s="11"/>
      <c r="O60" s="12">
        <f t="shared" si="3"/>
        <v>-1355.2143484777289</v>
      </c>
      <c r="P60" s="10">
        <f t="shared" si="12"/>
        <v>-177706.35703745845</v>
      </c>
      <c r="Q60" s="13">
        <f t="shared" si="4"/>
        <v>271537.97109374992</v>
      </c>
      <c r="R60" s="10">
        <f t="shared" si="5"/>
        <v>129622.03698272354</v>
      </c>
      <c r="S60" s="10">
        <f t="shared" si="13"/>
        <v>-35790.422926432075</v>
      </c>
    </row>
    <row r="61" spans="4:19" x14ac:dyDescent="0.25">
      <c r="F61" s="2">
        <f t="shared" si="10"/>
        <v>5</v>
      </c>
      <c r="G61" s="2">
        <f t="shared" si="11"/>
        <v>11</v>
      </c>
      <c r="H61" s="10">
        <f t="shared" si="14"/>
        <v>-887.35615656627056</v>
      </c>
      <c r="I61" s="11">
        <f t="shared" si="8"/>
        <v>-324.05509245680884</v>
      </c>
      <c r="J61" s="10">
        <f t="shared" ref="J61:J62" si="16">H61-I61</f>
        <v>-563.30106410946178</v>
      </c>
      <c r="K61" s="10">
        <f t="shared" si="1"/>
        <v>129058.73591861408</v>
      </c>
      <c r="L61" s="11">
        <f t="shared" si="15"/>
        <v>-467.85819191145822</v>
      </c>
      <c r="M61" s="11"/>
      <c r="N61" s="11"/>
      <c r="O61" s="12">
        <f>L61+H61</f>
        <v>-1355.2143484777289</v>
      </c>
      <c r="P61" s="10">
        <f t="shared" ref="P61" si="17">P60+O61</f>
        <v>-179061.57138593617</v>
      </c>
      <c r="Q61" s="13">
        <f t="shared" si="4"/>
        <v>271537.97109374992</v>
      </c>
      <c r="R61" s="10">
        <f>K61</f>
        <v>129058.73591861408</v>
      </c>
      <c r="S61" s="10">
        <f t="shared" ref="S61:S62" si="18">Q61-R61+P61</f>
        <v>-36582.336210800335</v>
      </c>
    </row>
    <row r="62" spans="4:19" x14ac:dyDescent="0.25">
      <c r="F62" s="2">
        <f t="shared" si="10"/>
        <v>5</v>
      </c>
      <c r="G62" s="2">
        <f t="shared" si="11"/>
        <v>12</v>
      </c>
      <c r="H62" s="10">
        <f t="shared" si="14"/>
        <v>-887.35615656627056</v>
      </c>
      <c r="I62" s="11">
        <f t="shared" si="8"/>
        <v>-322.64683979653523</v>
      </c>
      <c r="J62" s="10">
        <f t="shared" si="16"/>
        <v>-564.70931676973532</v>
      </c>
      <c r="K62" s="10">
        <f t="shared" si="1"/>
        <v>128494.02660184435</v>
      </c>
      <c r="L62" s="11">
        <f t="shared" si="15"/>
        <v>-467.85819191145822</v>
      </c>
      <c r="M62" s="11">
        <f>$C$30</f>
        <v>127539.6355381904</v>
      </c>
      <c r="N62" s="11"/>
      <c r="O62" s="12">
        <f>L62+H62</f>
        <v>-1355.2143484777289</v>
      </c>
      <c r="P62" s="10">
        <f>P61+O62</f>
        <v>-180416.78573441389</v>
      </c>
      <c r="Q62" s="13">
        <f t="shared" si="4"/>
        <v>271537.97109374992</v>
      </c>
      <c r="R62" s="10">
        <f>K62</f>
        <v>128494.02660184435</v>
      </c>
      <c r="S62" s="10">
        <f t="shared" si="18"/>
        <v>-37372.841242508322</v>
      </c>
    </row>
    <row r="63" spans="4:19" x14ac:dyDescent="0.25">
      <c r="D63" s="18" t="s">
        <v>43</v>
      </c>
      <c r="F63" s="2">
        <f t="shared" si="10"/>
        <v>6</v>
      </c>
      <c r="G63" s="2">
        <f t="shared" si="11"/>
        <v>1</v>
      </c>
      <c r="H63" s="10"/>
      <c r="I63" s="11"/>
      <c r="J63" s="10"/>
      <c r="K63" s="10"/>
      <c r="L63" s="11"/>
      <c r="M63" s="11">
        <f>M62*(1+$D$32)</f>
        <v>128059.24780069439</v>
      </c>
      <c r="N63" s="11">
        <f t="shared" ref="N63:N94" si="19">-$C$34*(1+$C$35)^($F63-1)</f>
        <v>-938.46868272000006</v>
      </c>
      <c r="O63" s="12">
        <f>(M63-M62)*(1-$C$33)+N63</f>
        <v>-548.75948584201046</v>
      </c>
      <c r="P63" s="10">
        <f t="shared" ref="P63:P122" si="20">P62+O63</f>
        <v>-180965.54522025591</v>
      </c>
      <c r="Q63" s="13"/>
      <c r="R63" s="10"/>
      <c r="S63" s="10"/>
    </row>
    <row r="64" spans="4:19" x14ac:dyDescent="0.25">
      <c r="F64" s="2">
        <f t="shared" si="10"/>
        <v>6</v>
      </c>
      <c r="G64" s="2">
        <f t="shared" si="11"/>
        <v>2</v>
      </c>
      <c r="H64" s="10"/>
      <c r="I64" s="11"/>
      <c r="J64" s="10"/>
      <c r="K64" s="10"/>
      <c r="L64" s="11"/>
      <c r="M64" s="11">
        <f t="shared" ref="M64:M122" si="21">M63*(1+$D$32)</f>
        <v>128580.97702787531</v>
      </c>
      <c r="N64" s="11">
        <f t="shared" si="19"/>
        <v>-938.46868272000006</v>
      </c>
      <c r="O64" s="12">
        <f t="shared" ref="O64:O121" si="22">(M64-M63)*(1-$C$33)+N64</f>
        <v>-547.1717623343045</v>
      </c>
      <c r="P64" s="10">
        <f t="shared" si="20"/>
        <v>-181512.71698259021</v>
      </c>
      <c r="Q64" s="13"/>
      <c r="R64" s="10"/>
      <c r="S64" s="10"/>
    </row>
    <row r="65" spans="3:19" x14ac:dyDescent="0.25">
      <c r="F65" s="2">
        <f t="shared" si="10"/>
        <v>6</v>
      </c>
      <c r="G65" s="2">
        <f t="shared" si="11"/>
        <v>3</v>
      </c>
      <c r="H65" s="10"/>
      <c r="I65" s="11"/>
      <c r="J65" s="10"/>
      <c r="K65" s="10"/>
      <c r="L65" s="11"/>
      <c r="M65" s="11">
        <f t="shared" si="21"/>
        <v>129104.83184450932</v>
      </c>
      <c r="N65" s="11">
        <f t="shared" si="19"/>
        <v>-938.46868272000006</v>
      </c>
      <c r="O65" s="12">
        <f t="shared" si="22"/>
        <v>-545.57757024449688</v>
      </c>
      <c r="P65" s="10">
        <f t="shared" si="20"/>
        <v>-182058.2945528347</v>
      </c>
      <c r="Q65" s="13"/>
      <c r="R65" s="10"/>
      <c r="S65" s="10"/>
    </row>
    <row r="66" spans="3:19" x14ac:dyDescent="0.25">
      <c r="C66" s="3"/>
      <c r="F66" s="2">
        <f t="shared" si="10"/>
        <v>6</v>
      </c>
      <c r="G66" s="2">
        <f t="shared" si="11"/>
        <v>4</v>
      </c>
      <c r="H66" s="10"/>
      <c r="I66" s="11"/>
      <c r="J66" s="10"/>
      <c r="K66" s="10"/>
      <c r="L66" s="11"/>
      <c r="M66" s="11">
        <f t="shared" si="21"/>
        <v>129630.82091051096</v>
      </c>
      <c r="N66" s="11">
        <f t="shared" si="19"/>
        <v>-938.46868272000006</v>
      </c>
      <c r="O66" s="12">
        <f t="shared" si="22"/>
        <v>-543.97688321877081</v>
      </c>
      <c r="P66" s="10">
        <f t="shared" si="20"/>
        <v>-182602.27143605347</v>
      </c>
      <c r="Q66" s="13"/>
      <c r="R66" s="10"/>
      <c r="S66" s="10"/>
    </row>
    <row r="67" spans="3:19" x14ac:dyDescent="0.25">
      <c r="C67" s="3"/>
      <c r="F67" s="2">
        <f t="shared" si="10"/>
        <v>6</v>
      </c>
      <c r="G67" s="2">
        <f t="shared" si="11"/>
        <v>5</v>
      </c>
      <c r="H67" s="10"/>
      <c r="I67" s="11"/>
      <c r="J67" s="10"/>
      <c r="K67" s="10"/>
      <c r="L67" s="11"/>
      <c r="M67" s="11">
        <f t="shared" si="21"/>
        <v>130158.95292107633</v>
      </c>
      <c r="N67" s="11">
        <f t="shared" si="19"/>
        <v>-938.46868272000006</v>
      </c>
      <c r="O67" s="12">
        <f t="shared" si="22"/>
        <v>-542.36967479597092</v>
      </c>
      <c r="P67" s="10">
        <f t="shared" si="20"/>
        <v>-183144.64111084945</v>
      </c>
      <c r="Q67" s="13"/>
      <c r="R67" s="10"/>
      <c r="S67" s="10"/>
    </row>
    <row r="68" spans="3:19" x14ac:dyDescent="0.25">
      <c r="F68" s="2">
        <f t="shared" si="10"/>
        <v>6</v>
      </c>
      <c r="G68" s="2">
        <f t="shared" si="11"/>
        <v>6</v>
      </c>
      <c r="H68" s="10"/>
      <c r="I68" s="11"/>
      <c r="J68" s="10"/>
      <c r="K68" s="10"/>
      <c r="L68" s="11"/>
      <c r="M68" s="11">
        <f t="shared" si="21"/>
        <v>130689.23660682685</v>
      </c>
      <c r="N68" s="11">
        <f t="shared" si="19"/>
        <v>-938.46868272000006</v>
      </c>
      <c r="O68" s="12">
        <f t="shared" si="22"/>
        <v>-540.75591840711218</v>
      </c>
      <c r="P68" s="10">
        <f t="shared" si="20"/>
        <v>-183685.39702925656</v>
      </c>
      <c r="Q68" s="13"/>
      <c r="R68" s="10"/>
      <c r="S68" s="10"/>
    </row>
    <row r="69" spans="3:19" x14ac:dyDescent="0.25">
      <c r="F69" s="2">
        <f t="shared" si="10"/>
        <v>6</v>
      </c>
      <c r="G69" s="2">
        <f t="shared" si="11"/>
        <v>7</v>
      </c>
      <c r="H69" s="10"/>
      <c r="I69" s="11"/>
      <c r="J69" s="10"/>
      <c r="K69" s="10"/>
      <c r="L69" s="11"/>
      <c r="M69" s="11">
        <f t="shared" si="21"/>
        <v>131221.68073395357</v>
      </c>
      <c r="N69" s="11">
        <f t="shared" si="19"/>
        <v>-938.46868272000006</v>
      </c>
      <c r="O69" s="12">
        <f t="shared" si="22"/>
        <v>-539.13558737495418</v>
      </c>
      <c r="P69" s="10">
        <f t="shared" si="20"/>
        <v>-184224.53261663151</v>
      </c>
      <c r="Q69" s="13"/>
      <c r="R69" s="10"/>
      <c r="S69" s="10"/>
    </row>
    <row r="70" spans="3:19" x14ac:dyDescent="0.25">
      <c r="F70" s="2">
        <f t="shared" si="10"/>
        <v>6</v>
      </c>
      <c r="G70" s="2">
        <f t="shared" si="11"/>
        <v>8</v>
      </c>
      <c r="H70" s="10"/>
      <c r="I70" s="11"/>
      <c r="J70" s="10"/>
      <c r="K70" s="10"/>
      <c r="L70" s="11"/>
      <c r="M70" s="11">
        <f t="shared" si="21"/>
        <v>131756.29410436208</v>
      </c>
      <c r="N70" s="11">
        <f t="shared" si="19"/>
        <v>-938.46868272000006</v>
      </c>
      <c r="O70" s="12">
        <f t="shared" si="22"/>
        <v>-537.50865491361924</v>
      </c>
      <c r="P70" s="10">
        <f t="shared" si="20"/>
        <v>-184762.04127154514</v>
      </c>
      <c r="Q70" s="13"/>
      <c r="R70" s="10"/>
      <c r="S70" s="10"/>
    </row>
    <row r="71" spans="3:19" x14ac:dyDescent="0.25">
      <c r="F71" s="2">
        <f t="shared" si="10"/>
        <v>6</v>
      </c>
      <c r="G71" s="2">
        <f t="shared" si="11"/>
        <v>9</v>
      </c>
      <c r="H71" s="10"/>
      <c r="I71" s="11"/>
      <c r="J71" s="10"/>
      <c r="K71" s="10"/>
      <c r="L71" s="11"/>
      <c r="M71" s="11">
        <f t="shared" si="21"/>
        <v>132293.08555581802</v>
      </c>
      <c r="N71" s="11">
        <f t="shared" si="19"/>
        <v>-938.46868272000006</v>
      </c>
      <c r="O71" s="12">
        <f t="shared" si="22"/>
        <v>-535.87509412804661</v>
      </c>
      <c r="P71" s="10">
        <f t="shared" si="20"/>
        <v>-185297.91636567318</v>
      </c>
      <c r="Q71" s="13"/>
      <c r="R71" s="10"/>
      <c r="S71" s="10"/>
    </row>
    <row r="72" spans="3:19" x14ac:dyDescent="0.25">
      <c r="F72" s="2">
        <f t="shared" si="10"/>
        <v>6</v>
      </c>
      <c r="G72" s="2">
        <f t="shared" si="11"/>
        <v>10</v>
      </c>
      <c r="H72" s="10"/>
      <c r="I72" s="11"/>
      <c r="J72" s="10"/>
      <c r="K72" s="10"/>
      <c r="L72" s="11"/>
      <c r="M72" s="11">
        <f t="shared" si="21"/>
        <v>132832.06396209321</v>
      </c>
      <c r="N72" s="11">
        <f t="shared" si="19"/>
        <v>-938.46868272000006</v>
      </c>
      <c r="O72" s="12">
        <f t="shared" si="22"/>
        <v>-534.23487801361057</v>
      </c>
      <c r="P72" s="10">
        <f t="shared" si="20"/>
        <v>-185832.15124368679</v>
      </c>
      <c r="Q72" s="13"/>
      <c r="R72" s="10"/>
      <c r="S72" s="10"/>
    </row>
    <row r="73" spans="3:19" x14ac:dyDescent="0.25">
      <c r="F73" s="2">
        <f t="shared" si="10"/>
        <v>6</v>
      </c>
      <c r="G73" s="2">
        <f t="shared" si="11"/>
        <v>11</v>
      </c>
      <c r="H73" s="10"/>
      <c r="I73" s="11"/>
      <c r="J73" s="10"/>
      <c r="K73" s="10"/>
      <c r="L73" s="11"/>
      <c r="M73" s="11">
        <f t="shared" si="21"/>
        <v>133373.23823311226</v>
      </c>
      <c r="N73" s="11">
        <f t="shared" si="19"/>
        <v>-938.46868272000006</v>
      </c>
      <c r="O73" s="12">
        <f t="shared" si="22"/>
        <v>-532.58797945570564</v>
      </c>
      <c r="P73" s="10">
        <f t="shared" si="20"/>
        <v>-186364.7392231425</v>
      </c>
      <c r="Q73" s="13"/>
      <c r="R73" s="10"/>
      <c r="S73" s="10"/>
    </row>
    <row r="74" spans="3:19" x14ac:dyDescent="0.25">
      <c r="F74" s="2">
        <f t="shared" si="10"/>
        <v>6</v>
      </c>
      <c r="G74" s="2">
        <f t="shared" si="11"/>
        <v>12</v>
      </c>
      <c r="H74" s="10"/>
      <c r="I74" s="11"/>
      <c r="J74" s="10"/>
      <c r="K74" s="10"/>
      <c r="L74" s="11"/>
      <c r="M74" s="11">
        <f t="shared" si="21"/>
        <v>133916.61731509998</v>
      </c>
      <c r="N74" s="11">
        <f t="shared" si="19"/>
        <v>-938.46868272000006</v>
      </c>
      <c r="O74" s="12">
        <f t="shared" si="22"/>
        <v>-530.93437122921182</v>
      </c>
      <c r="P74" s="10">
        <f t="shared" si="20"/>
        <v>-186895.67359437171</v>
      </c>
      <c r="Q74" s="13"/>
      <c r="R74" s="10"/>
      <c r="S74" s="10"/>
    </row>
    <row r="75" spans="3:19" x14ac:dyDescent="0.25">
      <c r="F75" s="2">
        <f t="shared" si="10"/>
        <v>7</v>
      </c>
      <c r="G75" s="2">
        <f t="shared" si="11"/>
        <v>1</v>
      </c>
      <c r="H75" s="10"/>
      <c r="I75" s="11"/>
      <c r="J75" s="10"/>
      <c r="K75" s="10"/>
      <c r="L75" s="11"/>
      <c r="M75" s="11">
        <f t="shared" si="21"/>
        <v>134462.21019072918</v>
      </c>
      <c r="N75" s="11">
        <f t="shared" si="19"/>
        <v>-957.2380563744</v>
      </c>
      <c r="O75" s="12">
        <f t="shared" si="22"/>
        <v>-548.04339965250165</v>
      </c>
      <c r="P75" s="10">
        <f t="shared" si="20"/>
        <v>-187443.7169940242</v>
      </c>
      <c r="Q75" s="13"/>
      <c r="R75" s="10"/>
      <c r="S75" s="10"/>
    </row>
    <row r="76" spans="3:19" x14ac:dyDescent="0.25">
      <c r="F76" s="2">
        <f t="shared" si="10"/>
        <v>7</v>
      </c>
      <c r="G76" s="2">
        <f t="shared" si="11"/>
        <v>2</v>
      </c>
      <c r="H76" s="10"/>
      <c r="I76" s="11"/>
      <c r="J76" s="10"/>
      <c r="K76" s="10"/>
      <c r="L76" s="11"/>
      <c r="M76" s="11">
        <f t="shared" si="21"/>
        <v>135010.02587926915</v>
      </c>
      <c r="N76" s="11">
        <f t="shared" si="19"/>
        <v>-957.2380563744</v>
      </c>
      <c r="O76" s="12">
        <f t="shared" si="22"/>
        <v>-546.37628996942567</v>
      </c>
      <c r="P76" s="10">
        <f t="shared" si="20"/>
        <v>-187990.09328399363</v>
      </c>
      <c r="Q76" s="13"/>
      <c r="R76" s="10"/>
      <c r="S76" s="10"/>
    </row>
    <row r="77" spans="3:19" x14ac:dyDescent="0.25">
      <c r="F77" s="2">
        <f t="shared" si="10"/>
        <v>7</v>
      </c>
      <c r="G77" s="2">
        <f t="shared" si="11"/>
        <v>3</v>
      </c>
      <c r="H77" s="10"/>
      <c r="I77" s="11"/>
      <c r="J77" s="10"/>
      <c r="K77" s="10"/>
      <c r="L77" s="11"/>
      <c r="M77" s="11">
        <f t="shared" si="21"/>
        <v>135560.07343673485</v>
      </c>
      <c r="N77" s="11">
        <f t="shared" si="19"/>
        <v>-957.2380563744</v>
      </c>
      <c r="O77" s="12">
        <f t="shared" si="22"/>
        <v>-544.70238827512276</v>
      </c>
      <c r="P77" s="10">
        <f t="shared" si="20"/>
        <v>-188534.79567226875</v>
      </c>
      <c r="Q77" s="13"/>
      <c r="R77" s="10"/>
      <c r="S77" s="10"/>
    </row>
    <row r="78" spans="3:19" x14ac:dyDescent="0.25">
      <c r="F78" s="2">
        <f t="shared" si="10"/>
        <v>7</v>
      </c>
      <c r="G78" s="2">
        <f t="shared" si="11"/>
        <v>4</v>
      </c>
      <c r="H78" s="10"/>
      <c r="I78" s="11"/>
      <c r="J78" s="10"/>
      <c r="K78" s="10"/>
      <c r="L78" s="11"/>
      <c r="M78" s="11">
        <f t="shared" si="21"/>
        <v>136112.36195603656</v>
      </c>
      <c r="N78" s="11">
        <f t="shared" si="19"/>
        <v>-957.2380563744</v>
      </c>
      <c r="O78" s="12">
        <f t="shared" si="22"/>
        <v>-543.02166689811474</v>
      </c>
      <c r="P78" s="10">
        <f t="shared" si="20"/>
        <v>-189077.81733916685</v>
      </c>
      <c r="Q78" s="13"/>
      <c r="R78" s="10"/>
      <c r="S78" s="10"/>
    </row>
    <row r="79" spans="3:19" x14ac:dyDescent="0.25">
      <c r="F79" s="2">
        <f t="shared" si="10"/>
        <v>7</v>
      </c>
      <c r="G79" s="2">
        <f t="shared" si="11"/>
        <v>5</v>
      </c>
      <c r="H79" s="10"/>
      <c r="I79" s="11"/>
      <c r="J79" s="10"/>
      <c r="K79" s="10"/>
      <c r="L79" s="11"/>
      <c r="M79" s="11">
        <f t="shared" si="21"/>
        <v>136666.90056713021</v>
      </c>
      <c r="N79" s="11">
        <f t="shared" si="19"/>
        <v>-957.2380563744</v>
      </c>
      <c r="O79" s="12">
        <f t="shared" si="22"/>
        <v>-541.33409805416068</v>
      </c>
      <c r="P79" s="10">
        <f t="shared" si="20"/>
        <v>-189619.15143722101</v>
      </c>
      <c r="Q79" s="13"/>
      <c r="R79" s="10"/>
      <c r="S79" s="10"/>
    </row>
    <row r="80" spans="3:19" x14ac:dyDescent="0.25">
      <c r="F80" s="2">
        <f t="shared" si="10"/>
        <v>7</v>
      </c>
      <c r="G80" s="2">
        <f t="shared" si="11"/>
        <v>6</v>
      </c>
      <c r="H80" s="10"/>
      <c r="I80" s="11"/>
      <c r="J80" s="10"/>
      <c r="K80" s="10"/>
      <c r="L80" s="11"/>
      <c r="M80" s="11">
        <f t="shared" si="21"/>
        <v>137223.69843716826</v>
      </c>
      <c r="N80" s="11">
        <f t="shared" si="19"/>
        <v>-957.2380563744</v>
      </c>
      <c r="O80" s="12">
        <f t="shared" si="22"/>
        <v>-539.6396538458639</v>
      </c>
      <c r="P80" s="10">
        <f t="shared" si="20"/>
        <v>-190158.79109106687</v>
      </c>
      <c r="Q80" s="13"/>
      <c r="R80" s="10"/>
      <c r="S80" s="10"/>
    </row>
    <row r="81" spans="6:19" x14ac:dyDescent="0.25">
      <c r="F81" s="2">
        <f t="shared" ref="F81:F122" si="23">F69+1</f>
        <v>7</v>
      </c>
      <c r="G81" s="2">
        <f t="shared" ref="G81:G122" si="24">G69</f>
        <v>7</v>
      </c>
      <c r="H81" s="10"/>
      <c r="I81" s="11"/>
      <c r="J81" s="10"/>
      <c r="K81" s="10"/>
      <c r="L81" s="11"/>
      <c r="M81" s="11">
        <f t="shared" si="21"/>
        <v>137782.76477065132</v>
      </c>
      <c r="N81" s="11">
        <f t="shared" si="19"/>
        <v>-957.2380563744</v>
      </c>
      <c r="O81" s="12">
        <f t="shared" si="22"/>
        <v>-537.93830626210456</v>
      </c>
      <c r="P81" s="10">
        <f t="shared" si="20"/>
        <v>-190696.72939732898</v>
      </c>
      <c r="Q81" s="13"/>
      <c r="R81" s="10"/>
      <c r="S81" s="10"/>
    </row>
    <row r="82" spans="6:19" x14ac:dyDescent="0.25">
      <c r="F82" s="2">
        <f t="shared" si="23"/>
        <v>7</v>
      </c>
      <c r="G82" s="2">
        <f t="shared" si="24"/>
        <v>8</v>
      </c>
      <c r="H82" s="10"/>
      <c r="I82" s="11"/>
      <c r="J82" s="10"/>
      <c r="K82" s="10"/>
      <c r="L82" s="11"/>
      <c r="M82" s="11">
        <f t="shared" si="21"/>
        <v>138344.10880958027</v>
      </c>
      <c r="N82" s="11">
        <f t="shared" si="19"/>
        <v>-957.2380563744</v>
      </c>
      <c r="O82" s="12">
        <f t="shared" si="22"/>
        <v>-536.23002717769032</v>
      </c>
      <c r="P82" s="10">
        <f t="shared" si="20"/>
        <v>-191232.95942450667</v>
      </c>
      <c r="Q82" s="13"/>
      <c r="R82" s="10"/>
      <c r="S82" s="10"/>
    </row>
    <row r="83" spans="6:19" x14ac:dyDescent="0.25">
      <c r="F83" s="2">
        <f t="shared" si="23"/>
        <v>7</v>
      </c>
      <c r="G83" s="2">
        <f t="shared" si="24"/>
        <v>9</v>
      </c>
      <c r="H83" s="10"/>
      <c r="I83" s="11"/>
      <c r="J83" s="10"/>
      <c r="K83" s="10"/>
      <c r="L83" s="11"/>
      <c r="M83" s="11">
        <f t="shared" si="21"/>
        <v>138907.73983360903</v>
      </c>
      <c r="N83" s="11">
        <f t="shared" si="19"/>
        <v>-957.2380563744</v>
      </c>
      <c r="O83" s="12">
        <f t="shared" si="22"/>
        <v>-534.51478835283251</v>
      </c>
      <c r="P83" s="10">
        <f t="shared" si="20"/>
        <v>-191767.4742128595</v>
      </c>
      <c r="Q83" s="13"/>
      <c r="R83" s="10"/>
      <c r="S83" s="10"/>
    </row>
    <row r="84" spans="6:19" x14ac:dyDescent="0.25">
      <c r="F84" s="2">
        <f t="shared" si="23"/>
        <v>7</v>
      </c>
      <c r="G84" s="2">
        <f t="shared" si="24"/>
        <v>10</v>
      </c>
      <c r="H84" s="10"/>
      <c r="I84" s="11"/>
      <c r="J84" s="10"/>
      <c r="K84" s="10"/>
      <c r="L84" s="11"/>
      <c r="M84" s="11">
        <f t="shared" si="21"/>
        <v>139473.66716019798</v>
      </c>
      <c r="N84" s="11">
        <f t="shared" si="19"/>
        <v>-957.2380563744</v>
      </c>
      <c r="O84" s="12">
        <f t="shared" si="22"/>
        <v>-532.79256143268776</v>
      </c>
      <c r="P84" s="10">
        <f t="shared" si="20"/>
        <v>-192300.26677429219</v>
      </c>
      <c r="Q84" s="13"/>
      <c r="R84" s="10"/>
      <c r="S84" s="10"/>
    </row>
    <row r="85" spans="6:19" x14ac:dyDescent="0.25">
      <c r="F85" s="2">
        <f t="shared" si="23"/>
        <v>7</v>
      </c>
      <c r="G85" s="2">
        <f t="shared" si="24"/>
        <v>11</v>
      </c>
      <c r="H85" s="10"/>
      <c r="I85" s="11"/>
      <c r="J85" s="10"/>
      <c r="K85" s="10"/>
      <c r="L85" s="11"/>
      <c r="M85" s="11">
        <f t="shared" si="21"/>
        <v>140041.90014476801</v>
      </c>
      <c r="N85" s="11">
        <f t="shared" si="19"/>
        <v>-957.2380563744</v>
      </c>
      <c r="O85" s="12">
        <f t="shared" si="22"/>
        <v>-531.06331794687776</v>
      </c>
      <c r="P85" s="10">
        <f t="shared" si="20"/>
        <v>-192831.33009223908</v>
      </c>
      <c r="Q85" s="13"/>
      <c r="R85" s="10"/>
      <c r="S85" s="10"/>
    </row>
    <row r="86" spans="6:19" x14ac:dyDescent="0.25">
      <c r="F86" s="2">
        <f t="shared" si="23"/>
        <v>7</v>
      </c>
      <c r="G86" s="2">
        <f t="shared" si="24"/>
        <v>12</v>
      </c>
      <c r="H86" s="10"/>
      <c r="I86" s="11"/>
      <c r="J86" s="10"/>
      <c r="K86" s="10"/>
      <c r="L86" s="11"/>
      <c r="M86" s="11">
        <f t="shared" si="21"/>
        <v>140612.44818085511</v>
      </c>
      <c r="N86" s="11">
        <f t="shared" si="19"/>
        <v>-957.2380563744</v>
      </c>
      <c r="O86" s="12">
        <f t="shared" si="22"/>
        <v>-529.32702930907453</v>
      </c>
      <c r="P86" s="10">
        <f t="shared" si="20"/>
        <v>-193360.65712154814</v>
      </c>
      <c r="Q86" s="13"/>
      <c r="R86" s="10"/>
      <c r="S86" s="10"/>
    </row>
    <row r="87" spans="6:19" x14ac:dyDescent="0.25">
      <c r="F87" s="2">
        <f t="shared" si="23"/>
        <v>8</v>
      </c>
      <c r="G87" s="2">
        <f t="shared" si="24"/>
        <v>1</v>
      </c>
      <c r="H87" s="10"/>
      <c r="I87" s="11"/>
      <c r="J87" s="10"/>
      <c r="K87" s="10"/>
      <c r="L87" s="11"/>
      <c r="M87" s="11">
        <f t="shared" si="21"/>
        <v>141185.32070026576</v>
      </c>
      <c r="N87" s="11">
        <f t="shared" si="19"/>
        <v>-976.38281750188787</v>
      </c>
      <c r="O87" s="12">
        <f t="shared" si="22"/>
        <v>-546.72842794389896</v>
      </c>
      <c r="P87" s="10">
        <f t="shared" si="20"/>
        <v>-193907.38554949203</v>
      </c>
      <c r="Q87" s="13"/>
      <c r="R87" s="10"/>
      <c r="S87" s="10"/>
    </row>
    <row r="88" spans="6:19" x14ac:dyDescent="0.25">
      <c r="F88" s="2">
        <f t="shared" si="23"/>
        <v>8</v>
      </c>
      <c r="G88" s="2">
        <f t="shared" si="24"/>
        <v>2</v>
      </c>
      <c r="H88" s="10"/>
      <c r="I88" s="11"/>
      <c r="J88" s="10"/>
      <c r="K88" s="10"/>
      <c r="L88" s="11"/>
      <c r="M88" s="11">
        <f t="shared" si="21"/>
        <v>141760.52717323272</v>
      </c>
      <c r="N88" s="11">
        <f t="shared" si="19"/>
        <v>-976.38281750188787</v>
      </c>
      <c r="O88" s="12">
        <f t="shared" si="22"/>
        <v>-544.97796277666373</v>
      </c>
      <c r="P88" s="10">
        <f t="shared" si="20"/>
        <v>-194452.3635122687</v>
      </c>
      <c r="Q88" s="13"/>
      <c r="R88" s="10"/>
      <c r="S88" s="10"/>
    </row>
    <row r="89" spans="6:19" x14ac:dyDescent="0.25">
      <c r="F89" s="2">
        <f t="shared" si="23"/>
        <v>8</v>
      </c>
      <c r="G89" s="2">
        <f t="shared" si="24"/>
        <v>3</v>
      </c>
      <c r="H89" s="10"/>
      <c r="I89" s="11"/>
      <c r="J89" s="10"/>
      <c r="K89" s="10"/>
      <c r="L89" s="11"/>
      <c r="M89" s="11">
        <f t="shared" si="21"/>
        <v>142338.07710857171</v>
      </c>
      <c r="N89" s="11">
        <f t="shared" si="19"/>
        <v>-976.38281750188787</v>
      </c>
      <c r="O89" s="12">
        <f t="shared" si="22"/>
        <v>-543.22036599764567</v>
      </c>
      <c r="P89" s="10">
        <f t="shared" si="20"/>
        <v>-194995.58387826633</v>
      </c>
      <c r="Q89" s="13"/>
      <c r="R89" s="10"/>
      <c r="S89" s="10"/>
    </row>
    <row r="90" spans="6:19" x14ac:dyDescent="0.25">
      <c r="F90" s="2">
        <f t="shared" si="23"/>
        <v>8</v>
      </c>
      <c r="G90" s="2">
        <f t="shared" si="24"/>
        <v>4</v>
      </c>
      <c r="H90" s="10"/>
      <c r="I90" s="11"/>
      <c r="J90" s="10"/>
      <c r="K90" s="10"/>
      <c r="L90" s="11"/>
      <c r="M90" s="11">
        <f t="shared" si="21"/>
        <v>142917.98005383852</v>
      </c>
      <c r="N90" s="11">
        <f t="shared" si="19"/>
        <v>-976.38281750188787</v>
      </c>
      <c r="O90" s="12">
        <f t="shared" si="22"/>
        <v>-541.45560855178508</v>
      </c>
      <c r="P90" s="10">
        <f t="shared" si="20"/>
        <v>-195537.03948681813</v>
      </c>
      <c r="Q90" s="13"/>
      <c r="R90" s="10"/>
      <c r="S90" s="10"/>
    </row>
    <row r="91" spans="6:19" x14ac:dyDescent="0.25">
      <c r="F91" s="2">
        <f t="shared" si="23"/>
        <v>8</v>
      </c>
      <c r="G91" s="2">
        <f t="shared" si="24"/>
        <v>5</v>
      </c>
      <c r="H91" s="10"/>
      <c r="I91" s="11"/>
      <c r="J91" s="10"/>
      <c r="K91" s="10"/>
      <c r="L91" s="11"/>
      <c r="M91" s="11">
        <f t="shared" si="21"/>
        <v>143500.24559548683</v>
      </c>
      <c r="N91" s="11">
        <f t="shared" si="19"/>
        <v>-976.38281750188787</v>
      </c>
      <c r="O91" s="12">
        <f t="shared" si="22"/>
        <v>-539.68366126564968</v>
      </c>
      <c r="P91" s="10">
        <f t="shared" si="20"/>
        <v>-196076.72314808378</v>
      </c>
      <c r="Q91" s="13"/>
      <c r="R91" s="10"/>
      <c r="S91" s="10"/>
    </row>
    <row r="92" spans="6:19" x14ac:dyDescent="0.25">
      <c r="F92" s="2">
        <f t="shared" si="23"/>
        <v>8</v>
      </c>
      <c r="G92" s="2">
        <f t="shared" si="24"/>
        <v>6</v>
      </c>
      <c r="H92" s="10"/>
      <c r="I92" s="11"/>
      <c r="J92" s="10"/>
      <c r="K92" s="10"/>
      <c r="L92" s="11"/>
      <c r="M92" s="11">
        <f t="shared" si="21"/>
        <v>144084.88335902677</v>
      </c>
      <c r="N92" s="11">
        <f t="shared" si="19"/>
        <v>-976.38281750188787</v>
      </c>
      <c r="O92" s="12">
        <f t="shared" si="22"/>
        <v>-537.90449484693261</v>
      </c>
      <c r="P92" s="10">
        <f t="shared" si="20"/>
        <v>-196614.62764293072</v>
      </c>
      <c r="Q92" s="13"/>
      <c r="R92" s="10"/>
      <c r="S92" s="10"/>
    </row>
    <row r="93" spans="6:19" x14ac:dyDescent="0.25">
      <c r="F93" s="2">
        <f t="shared" si="23"/>
        <v>8</v>
      </c>
      <c r="G93" s="2">
        <f t="shared" si="24"/>
        <v>7</v>
      </c>
      <c r="H93" s="10"/>
      <c r="I93" s="11"/>
      <c r="J93" s="10"/>
      <c r="K93" s="10"/>
      <c r="L93" s="11"/>
      <c r="M93" s="11">
        <f t="shared" si="21"/>
        <v>144671.903009184</v>
      </c>
      <c r="N93" s="11">
        <f t="shared" si="19"/>
        <v>-976.38281750188787</v>
      </c>
      <c r="O93" s="12">
        <f t="shared" si="22"/>
        <v>-536.1180798839722</v>
      </c>
      <c r="P93" s="10">
        <f t="shared" si="20"/>
        <v>-197150.7457228147</v>
      </c>
      <c r="Q93" s="13"/>
      <c r="R93" s="10"/>
      <c r="S93" s="10"/>
    </row>
    <row r="94" spans="6:19" x14ac:dyDescent="0.25">
      <c r="F94" s="2">
        <f t="shared" si="23"/>
        <v>8</v>
      </c>
      <c r="G94" s="2">
        <f t="shared" si="24"/>
        <v>8</v>
      </c>
      <c r="H94" s="10"/>
      <c r="I94" s="11"/>
      <c r="J94" s="10"/>
      <c r="K94" s="10"/>
      <c r="L94" s="11"/>
      <c r="M94" s="11">
        <f t="shared" si="21"/>
        <v>145261.31425005937</v>
      </c>
      <c r="N94" s="11">
        <f t="shared" si="19"/>
        <v>-976.38281750188787</v>
      </c>
      <c r="O94" s="12">
        <f t="shared" si="22"/>
        <v>-534.32438684535907</v>
      </c>
      <c r="P94" s="10">
        <f t="shared" si="20"/>
        <v>-197685.07010966007</v>
      </c>
      <c r="Q94" s="13"/>
      <c r="R94" s="10"/>
      <c r="S94" s="10"/>
    </row>
    <row r="95" spans="6:19" x14ac:dyDescent="0.25">
      <c r="F95" s="2">
        <f t="shared" si="23"/>
        <v>8</v>
      </c>
      <c r="G95" s="2">
        <f t="shared" si="24"/>
        <v>9</v>
      </c>
      <c r="H95" s="10"/>
      <c r="I95" s="11"/>
      <c r="J95" s="10"/>
      <c r="K95" s="10"/>
      <c r="L95" s="11"/>
      <c r="M95" s="11">
        <f t="shared" si="21"/>
        <v>145853.12682528954</v>
      </c>
      <c r="N95" s="11">
        <f t="shared" ref="N95:N122" si="25">-$C$34*(1+$C$35)^($F95-1)</f>
        <v>-976.38281750188787</v>
      </c>
      <c r="O95" s="12">
        <f t="shared" si="22"/>
        <v>-532.52338607925947</v>
      </c>
      <c r="P95" s="10">
        <f t="shared" si="20"/>
        <v>-198217.59349573933</v>
      </c>
      <c r="Q95" s="13"/>
      <c r="R95" s="10"/>
      <c r="S95" s="10"/>
    </row>
    <row r="96" spans="6:19" x14ac:dyDescent="0.25">
      <c r="F96" s="2">
        <f t="shared" si="23"/>
        <v>8</v>
      </c>
      <c r="G96" s="2">
        <f t="shared" si="24"/>
        <v>10</v>
      </c>
      <c r="H96" s="10"/>
      <c r="I96" s="11"/>
      <c r="J96" s="10"/>
      <c r="K96" s="10"/>
      <c r="L96" s="11"/>
      <c r="M96" s="11">
        <f t="shared" si="21"/>
        <v>146447.35051820794</v>
      </c>
      <c r="N96" s="11">
        <f t="shared" si="25"/>
        <v>-976.38281750188787</v>
      </c>
      <c r="O96" s="12">
        <f t="shared" si="22"/>
        <v>-530.71504781308784</v>
      </c>
      <c r="P96" s="10">
        <f t="shared" si="20"/>
        <v>-198748.30854355241</v>
      </c>
      <c r="Q96" s="13"/>
      <c r="R96" s="10"/>
      <c r="S96" s="10"/>
    </row>
    <row r="97" spans="6:19" x14ac:dyDescent="0.25">
      <c r="F97" s="2">
        <f t="shared" si="23"/>
        <v>8</v>
      </c>
      <c r="G97" s="2">
        <f t="shared" si="24"/>
        <v>11</v>
      </c>
      <c r="H97" s="10"/>
      <c r="I97" s="11"/>
      <c r="J97" s="10"/>
      <c r="K97" s="10"/>
      <c r="L97" s="11"/>
      <c r="M97" s="11">
        <f t="shared" si="21"/>
        <v>147043.99515200645</v>
      </c>
      <c r="N97" s="11">
        <f t="shared" si="25"/>
        <v>-976.38281750188787</v>
      </c>
      <c r="O97" s="12">
        <f t="shared" si="22"/>
        <v>-528.8993421530048</v>
      </c>
      <c r="P97" s="10">
        <f t="shared" si="20"/>
        <v>-199277.20788570543</v>
      </c>
      <c r="Q97" s="13"/>
      <c r="R97" s="10"/>
      <c r="S97" s="10"/>
    </row>
    <row r="98" spans="6:19" x14ac:dyDescent="0.25">
      <c r="F98" s="2">
        <f t="shared" si="23"/>
        <v>8</v>
      </c>
      <c r="G98" s="2">
        <f t="shared" si="24"/>
        <v>12</v>
      </c>
      <c r="H98" s="10"/>
      <c r="I98" s="11"/>
      <c r="J98" s="10"/>
      <c r="K98" s="10"/>
      <c r="L98" s="11"/>
      <c r="M98" s="11">
        <f t="shared" si="21"/>
        <v>147643.07058989792</v>
      </c>
      <c r="N98" s="11">
        <f t="shared" si="25"/>
        <v>-976.38281750188787</v>
      </c>
      <c r="O98" s="12">
        <f t="shared" si="22"/>
        <v>-527.07623908328412</v>
      </c>
      <c r="P98" s="10">
        <f t="shared" si="20"/>
        <v>-199804.28412478871</v>
      </c>
      <c r="Q98" s="13"/>
      <c r="R98" s="10"/>
      <c r="S98" s="10"/>
    </row>
    <row r="99" spans="6:19" x14ac:dyDescent="0.25">
      <c r="F99" s="2">
        <f t="shared" si="23"/>
        <v>9</v>
      </c>
      <c r="G99" s="2">
        <f t="shared" si="24"/>
        <v>1</v>
      </c>
      <c r="H99" s="10"/>
      <c r="I99" s="11"/>
      <c r="J99" s="10"/>
      <c r="K99" s="10"/>
      <c r="L99" s="11"/>
      <c r="M99" s="11">
        <f t="shared" si="21"/>
        <v>148244.5867352791</v>
      </c>
      <c r="N99" s="11">
        <f t="shared" si="25"/>
        <v>-995.91047385192564</v>
      </c>
      <c r="O99" s="12">
        <f t="shared" si="22"/>
        <v>-544.77336481604493</v>
      </c>
      <c r="P99" s="10">
        <f t="shared" si="20"/>
        <v>-200349.05748960475</v>
      </c>
      <c r="Q99" s="13"/>
      <c r="R99" s="10"/>
      <c r="S99" s="10"/>
    </row>
    <row r="100" spans="6:19" x14ac:dyDescent="0.25">
      <c r="F100" s="2">
        <f t="shared" si="23"/>
        <v>9</v>
      </c>
      <c r="G100" s="2">
        <f t="shared" si="24"/>
        <v>2</v>
      </c>
      <c r="H100" s="10"/>
      <c r="I100" s="11"/>
      <c r="J100" s="10"/>
      <c r="K100" s="10"/>
      <c r="L100" s="11"/>
      <c r="M100" s="11">
        <f t="shared" si="21"/>
        <v>148848.55353189443</v>
      </c>
      <c r="N100" s="11">
        <f t="shared" si="25"/>
        <v>-995.91047385192564</v>
      </c>
      <c r="O100" s="12">
        <f t="shared" si="22"/>
        <v>-542.93537639042393</v>
      </c>
      <c r="P100" s="10">
        <f t="shared" si="20"/>
        <v>-200891.99286599518</v>
      </c>
      <c r="Q100" s="13"/>
      <c r="R100" s="10"/>
      <c r="S100" s="10"/>
    </row>
    <row r="101" spans="6:19" x14ac:dyDescent="0.25">
      <c r="F101" s="2">
        <f t="shared" si="23"/>
        <v>9</v>
      </c>
      <c r="G101" s="2">
        <f t="shared" si="24"/>
        <v>3</v>
      </c>
      <c r="H101" s="10"/>
      <c r="I101" s="11"/>
      <c r="J101" s="10"/>
      <c r="K101" s="10"/>
      <c r="L101" s="11"/>
      <c r="M101" s="11">
        <f t="shared" si="21"/>
        <v>149454.98096400037</v>
      </c>
      <c r="N101" s="11">
        <f t="shared" si="25"/>
        <v>-995.91047385192564</v>
      </c>
      <c r="O101" s="12">
        <f t="shared" si="22"/>
        <v>-541.08989977247461</v>
      </c>
      <c r="P101" s="10">
        <f t="shared" si="20"/>
        <v>-201433.08276576767</v>
      </c>
      <c r="Q101" s="13"/>
      <c r="R101" s="10"/>
      <c r="S101" s="10"/>
    </row>
    <row r="102" spans="6:19" x14ac:dyDescent="0.25">
      <c r="F102" s="2">
        <f t="shared" si="23"/>
        <v>9</v>
      </c>
      <c r="G102" s="2">
        <f t="shared" si="24"/>
        <v>4</v>
      </c>
      <c r="H102" s="10"/>
      <c r="I102" s="11"/>
      <c r="J102" s="10"/>
      <c r="K102" s="10"/>
      <c r="L102" s="11"/>
      <c r="M102" s="11">
        <f t="shared" si="21"/>
        <v>150063.87905653051</v>
      </c>
      <c r="N102" s="11">
        <f t="shared" si="25"/>
        <v>-995.91047385192564</v>
      </c>
      <c r="O102" s="12">
        <f t="shared" si="22"/>
        <v>-539.23690445431771</v>
      </c>
      <c r="P102" s="10">
        <f t="shared" si="20"/>
        <v>-201972.319670222</v>
      </c>
      <c r="Q102" s="13"/>
      <c r="R102" s="10"/>
      <c r="S102" s="10"/>
    </row>
    <row r="103" spans="6:19" x14ac:dyDescent="0.25">
      <c r="F103" s="2">
        <f t="shared" si="23"/>
        <v>9</v>
      </c>
      <c r="G103" s="2">
        <f t="shared" si="24"/>
        <v>5</v>
      </c>
      <c r="H103" s="10"/>
      <c r="I103" s="11"/>
      <c r="J103" s="10"/>
      <c r="K103" s="10"/>
      <c r="L103" s="11"/>
      <c r="M103" s="11">
        <f t="shared" si="21"/>
        <v>150675.25787526125</v>
      </c>
      <c r="N103" s="11">
        <f t="shared" si="25"/>
        <v>-995.91047385192564</v>
      </c>
      <c r="O103" s="12">
        <f t="shared" si="22"/>
        <v>-537.37635980387336</v>
      </c>
      <c r="P103" s="10">
        <f t="shared" si="20"/>
        <v>-202509.69603002587</v>
      </c>
      <c r="Q103" s="13"/>
      <c r="R103" s="10"/>
      <c r="S103" s="10"/>
    </row>
    <row r="104" spans="6:19" x14ac:dyDescent="0.25">
      <c r="F104" s="2">
        <f t="shared" si="23"/>
        <v>9</v>
      </c>
      <c r="G104" s="2">
        <f t="shared" si="24"/>
        <v>6</v>
      </c>
      <c r="H104" s="10"/>
      <c r="I104" s="11"/>
      <c r="J104" s="10"/>
      <c r="K104" s="10"/>
      <c r="L104" s="11"/>
      <c r="M104" s="11">
        <f t="shared" si="21"/>
        <v>151289.12752697821</v>
      </c>
      <c r="N104" s="11">
        <f t="shared" si="25"/>
        <v>-995.91047385192564</v>
      </c>
      <c r="O104" s="12">
        <f t="shared" si="22"/>
        <v>-535.50823506420625</v>
      </c>
      <c r="P104" s="10">
        <f t="shared" si="20"/>
        <v>-203045.20426509008</v>
      </c>
      <c r="Q104" s="13"/>
      <c r="R104" s="10"/>
      <c r="S104" s="10"/>
    </row>
    <row r="105" spans="6:19" x14ac:dyDescent="0.25">
      <c r="F105" s="2">
        <f t="shared" si="23"/>
        <v>9</v>
      </c>
      <c r="G105" s="2">
        <f t="shared" si="24"/>
        <v>7</v>
      </c>
      <c r="H105" s="10"/>
      <c r="I105" s="11"/>
      <c r="J105" s="10"/>
      <c r="K105" s="10"/>
      <c r="L105" s="11"/>
      <c r="M105" s="11">
        <f t="shared" si="21"/>
        <v>151905.49815964326</v>
      </c>
      <c r="N105" s="11">
        <f t="shared" si="25"/>
        <v>-995.91047385192564</v>
      </c>
      <c r="O105" s="12">
        <f t="shared" si="22"/>
        <v>-533.63249935313274</v>
      </c>
      <c r="P105" s="10">
        <f t="shared" si="20"/>
        <v>-203578.83676444323</v>
      </c>
      <c r="Q105" s="13"/>
      <c r="R105" s="10"/>
      <c r="S105" s="10"/>
    </row>
    <row r="106" spans="6:19" x14ac:dyDescent="0.25">
      <c r="F106" s="2">
        <f t="shared" si="23"/>
        <v>9</v>
      </c>
      <c r="G106" s="2">
        <f t="shared" si="24"/>
        <v>8</v>
      </c>
      <c r="H106" s="10"/>
      <c r="I106" s="11"/>
      <c r="J106" s="10"/>
      <c r="K106" s="10"/>
      <c r="L106" s="11"/>
      <c r="M106" s="11">
        <f t="shared" si="21"/>
        <v>152524.37996256241</v>
      </c>
      <c r="N106" s="11">
        <f t="shared" si="25"/>
        <v>-995.91047385192564</v>
      </c>
      <c r="O106" s="12">
        <f t="shared" si="22"/>
        <v>-531.74912166256604</v>
      </c>
      <c r="P106" s="10">
        <f t="shared" si="20"/>
        <v>-204110.58588610581</v>
      </c>
      <c r="Q106" s="13"/>
      <c r="R106" s="10"/>
      <c r="S106" s="10"/>
    </row>
    <row r="107" spans="6:19" x14ac:dyDescent="0.25">
      <c r="F107" s="2">
        <f t="shared" si="23"/>
        <v>9</v>
      </c>
      <c r="G107" s="2">
        <f t="shared" si="24"/>
        <v>9</v>
      </c>
      <c r="H107" s="10"/>
      <c r="I107" s="11"/>
      <c r="J107" s="10"/>
      <c r="K107" s="10"/>
      <c r="L107" s="11"/>
      <c r="M107" s="11">
        <f t="shared" si="21"/>
        <v>153145.78316655412</v>
      </c>
      <c r="N107" s="11">
        <f t="shared" si="25"/>
        <v>-995.91047385192564</v>
      </c>
      <c r="O107" s="12">
        <f t="shared" si="22"/>
        <v>-529.85807085814508</v>
      </c>
      <c r="P107" s="10">
        <f t="shared" si="20"/>
        <v>-204640.44395696395</v>
      </c>
      <c r="Q107" s="13"/>
      <c r="R107" s="10"/>
      <c r="S107" s="10"/>
    </row>
    <row r="108" spans="6:19" x14ac:dyDescent="0.25">
      <c r="F108" s="2">
        <f t="shared" si="23"/>
        <v>9</v>
      </c>
      <c r="G108" s="2">
        <f t="shared" si="24"/>
        <v>10</v>
      </c>
      <c r="H108" s="10"/>
      <c r="I108" s="11"/>
      <c r="J108" s="10"/>
      <c r="K108" s="10"/>
      <c r="L108" s="11"/>
      <c r="M108" s="11">
        <f t="shared" si="21"/>
        <v>153769.71804411843</v>
      </c>
      <c r="N108" s="11">
        <f t="shared" si="25"/>
        <v>-995.91047385192564</v>
      </c>
      <c r="O108" s="12">
        <f t="shared" si="22"/>
        <v>-527.95931567868888</v>
      </c>
      <c r="P108" s="10">
        <f t="shared" si="20"/>
        <v>-205168.40327264264</v>
      </c>
      <c r="Q108" s="13"/>
      <c r="R108" s="10"/>
      <c r="S108" s="10"/>
    </row>
    <row r="109" spans="6:19" x14ac:dyDescent="0.25">
      <c r="F109" s="2">
        <f t="shared" si="23"/>
        <v>9</v>
      </c>
      <c r="G109" s="2">
        <f t="shared" si="24"/>
        <v>11</v>
      </c>
      <c r="H109" s="10"/>
      <c r="I109" s="11"/>
      <c r="J109" s="10"/>
      <c r="K109" s="10"/>
      <c r="L109" s="11"/>
      <c r="M109" s="11">
        <f t="shared" si="21"/>
        <v>154396.19490960689</v>
      </c>
      <c r="N109" s="11">
        <f t="shared" si="25"/>
        <v>-995.91047385192564</v>
      </c>
      <c r="O109" s="12">
        <f t="shared" si="22"/>
        <v>-526.05282473558532</v>
      </c>
      <c r="P109" s="10">
        <f t="shared" si="20"/>
        <v>-205694.45609737822</v>
      </c>
      <c r="Q109" s="13"/>
      <c r="R109" s="10"/>
      <c r="S109" s="10"/>
    </row>
    <row r="110" spans="6:19" x14ac:dyDescent="0.25">
      <c r="F110" s="2">
        <f t="shared" si="23"/>
        <v>9</v>
      </c>
      <c r="G110" s="2">
        <f t="shared" si="24"/>
        <v>12</v>
      </c>
      <c r="H110" s="10"/>
      <c r="I110" s="11"/>
      <c r="J110" s="10"/>
      <c r="K110" s="10"/>
      <c r="L110" s="11"/>
      <c r="M110" s="11">
        <f t="shared" si="21"/>
        <v>155025.22411939292</v>
      </c>
      <c r="N110" s="11">
        <f t="shared" si="25"/>
        <v>-995.91047385192564</v>
      </c>
      <c r="O110" s="12">
        <f t="shared" si="22"/>
        <v>-524.13856651239826</v>
      </c>
      <c r="P110" s="10">
        <f t="shared" si="20"/>
        <v>-206218.59466389063</v>
      </c>
      <c r="Q110" s="13"/>
      <c r="R110" s="10"/>
      <c r="S110" s="10"/>
    </row>
    <row r="111" spans="6:19" x14ac:dyDescent="0.25">
      <c r="F111" s="2">
        <f t="shared" si="23"/>
        <v>10</v>
      </c>
      <c r="G111" s="2">
        <f t="shared" si="24"/>
        <v>1</v>
      </c>
      <c r="H111" s="10"/>
      <c r="I111" s="11"/>
      <c r="J111" s="10"/>
      <c r="K111" s="10"/>
      <c r="L111" s="11"/>
      <c r="M111" s="11">
        <f t="shared" si="21"/>
        <v>155656.81607204315</v>
      </c>
      <c r="N111" s="11">
        <f t="shared" si="25"/>
        <v>-1015.8286833289642</v>
      </c>
      <c r="O111" s="12">
        <f t="shared" si="22"/>
        <v>-542.1347188412949</v>
      </c>
      <c r="P111" s="10">
        <f t="shared" si="20"/>
        <v>-206760.72938273192</v>
      </c>
      <c r="Q111" s="13"/>
      <c r="R111" s="10"/>
      <c r="S111" s="10"/>
    </row>
    <row r="112" spans="6:19" x14ac:dyDescent="0.25">
      <c r="F112" s="2">
        <f t="shared" si="23"/>
        <v>10</v>
      </c>
      <c r="G112" s="2">
        <f t="shared" si="24"/>
        <v>2</v>
      </c>
      <c r="H112" s="10"/>
      <c r="I112" s="11"/>
      <c r="J112" s="10"/>
      <c r="K112" s="10"/>
      <c r="L112" s="11"/>
      <c r="M112" s="11">
        <f t="shared" si="21"/>
        <v>156290.98120848925</v>
      </c>
      <c r="N112" s="11">
        <f t="shared" si="25"/>
        <v>-1015.8286833289642</v>
      </c>
      <c r="O112" s="12">
        <f t="shared" si="22"/>
        <v>-540.20483099438957</v>
      </c>
      <c r="P112" s="10">
        <f t="shared" si="20"/>
        <v>-207300.93421372632</v>
      </c>
      <c r="Q112" s="13"/>
      <c r="R112" s="10"/>
      <c r="S112" s="10"/>
    </row>
    <row r="113" spans="6:19" x14ac:dyDescent="0.25">
      <c r="F113" s="2">
        <f t="shared" si="23"/>
        <v>10</v>
      </c>
      <c r="G113" s="2">
        <f t="shared" si="24"/>
        <v>3</v>
      </c>
      <c r="H113" s="10"/>
      <c r="I113" s="11"/>
      <c r="J113" s="10"/>
      <c r="K113" s="10"/>
      <c r="L113" s="11"/>
      <c r="M113" s="11">
        <f t="shared" si="21"/>
        <v>156927.73001220048</v>
      </c>
      <c r="N113" s="11">
        <f t="shared" si="25"/>
        <v>-1015.8286833289642</v>
      </c>
      <c r="O113" s="12">
        <f t="shared" si="22"/>
        <v>-538.26708054553842</v>
      </c>
      <c r="P113" s="10">
        <f t="shared" si="20"/>
        <v>-207839.20129427186</v>
      </c>
      <c r="Q113" s="13"/>
      <c r="R113" s="10"/>
      <c r="S113" s="10"/>
    </row>
    <row r="114" spans="6:19" x14ac:dyDescent="0.25">
      <c r="F114" s="2">
        <f t="shared" si="23"/>
        <v>10</v>
      </c>
      <c r="G114" s="2">
        <f t="shared" si="24"/>
        <v>4</v>
      </c>
      <c r="H114" s="10"/>
      <c r="I114" s="11"/>
      <c r="J114" s="10"/>
      <c r="K114" s="10"/>
      <c r="L114" s="11"/>
      <c r="M114" s="11">
        <f t="shared" si="21"/>
        <v>157567.07300935715</v>
      </c>
      <c r="N114" s="11">
        <f t="shared" si="25"/>
        <v>-1015.8286833289642</v>
      </c>
      <c r="O114" s="12">
        <f t="shared" si="22"/>
        <v>-536.32143546146494</v>
      </c>
      <c r="P114" s="10">
        <f t="shared" si="20"/>
        <v>-208375.52272973332</v>
      </c>
      <c r="Q114" s="13"/>
      <c r="R114" s="10"/>
      <c r="S114" s="10"/>
    </row>
    <row r="115" spans="6:19" x14ac:dyDescent="0.25">
      <c r="F115" s="2">
        <f t="shared" si="23"/>
        <v>10</v>
      </c>
      <c r="G115" s="2">
        <f t="shared" si="24"/>
        <v>5</v>
      </c>
      <c r="H115" s="10"/>
      <c r="I115" s="11"/>
      <c r="J115" s="10"/>
      <c r="K115" s="10"/>
      <c r="L115" s="11"/>
      <c r="M115" s="11">
        <f t="shared" si="21"/>
        <v>158209.02076902441</v>
      </c>
      <c r="N115" s="11">
        <f t="shared" si="25"/>
        <v>-1015.8286833289642</v>
      </c>
      <c r="O115" s="12">
        <f t="shared" si="22"/>
        <v>-534.36786357851474</v>
      </c>
      <c r="P115" s="10">
        <f t="shared" si="20"/>
        <v>-208909.89059331184</v>
      </c>
      <c r="Q115" s="13"/>
      <c r="R115" s="10"/>
      <c r="S115" s="10"/>
    </row>
    <row r="116" spans="6:19" x14ac:dyDescent="0.25">
      <c r="F116" s="2">
        <f t="shared" si="23"/>
        <v>10</v>
      </c>
      <c r="G116" s="2">
        <f t="shared" si="24"/>
        <v>6</v>
      </c>
      <c r="H116" s="10"/>
      <c r="I116" s="11"/>
      <c r="J116" s="10"/>
      <c r="K116" s="10"/>
      <c r="L116" s="11"/>
      <c r="M116" s="11">
        <f t="shared" si="21"/>
        <v>158853.58390332721</v>
      </c>
      <c r="N116" s="11">
        <f t="shared" si="25"/>
        <v>-1015.8286833289642</v>
      </c>
      <c r="O116" s="12">
        <f t="shared" si="22"/>
        <v>-532.40633260186974</v>
      </c>
      <c r="P116" s="10">
        <f t="shared" si="20"/>
        <v>-209442.29692591372</v>
      </c>
      <c r="Q116" s="13"/>
      <c r="R116" s="10"/>
      <c r="S116" s="10"/>
    </row>
    <row r="117" spans="6:19" x14ac:dyDescent="0.25">
      <c r="F117" s="2">
        <f t="shared" si="23"/>
        <v>10</v>
      </c>
      <c r="G117" s="2">
        <f t="shared" si="24"/>
        <v>7</v>
      </c>
      <c r="H117" s="10"/>
      <c r="I117" s="11"/>
      <c r="J117" s="10"/>
      <c r="K117" s="10"/>
      <c r="L117" s="11"/>
      <c r="M117" s="11">
        <f t="shared" si="21"/>
        <v>159500.77306762553</v>
      </c>
      <c r="N117" s="11">
        <f t="shared" si="25"/>
        <v>-1015.8286833289642</v>
      </c>
      <c r="O117" s="12">
        <f t="shared" si="22"/>
        <v>-530.43681010522073</v>
      </c>
      <c r="P117" s="10">
        <f t="shared" si="20"/>
        <v>-209972.73373601894</v>
      </c>
      <c r="Q117" s="13"/>
      <c r="R117" s="10"/>
      <c r="S117" s="10"/>
    </row>
    <row r="118" spans="6:19" x14ac:dyDescent="0.25">
      <c r="F118" s="2">
        <f t="shared" si="23"/>
        <v>10</v>
      </c>
      <c r="G118" s="2">
        <f t="shared" si="24"/>
        <v>8</v>
      </c>
      <c r="H118" s="10"/>
      <c r="I118" s="11"/>
      <c r="J118" s="10"/>
      <c r="K118" s="10"/>
      <c r="L118" s="11"/>
      <c r="M118" s="11">
        <f t="shared" si="21"/>
        <v>160150.59896069064</v>
      </c>
      <c r="N118" s="11">
        <f t="shared" si="25"/>
        <v>-1015.8286833289642</v>
      </c>
      <c r="O118" s="12">
        <f t="shared" si="22"/>
        <v>-528.45926353013442</v>
      </c>
      <c r="P118" s="10">
        <f t="shared" si="20"/>
        <v>-210501.19299954906</v>
      </c>
      <c r="Q118" s="13"/>
      <c r="R118" s="10"/>
      <c r="S118" s="10"/>
    </row>
    <row r="119" spans="6:19" x14ac:dyDescent="0.25">
      <c r="F119" s="2">
        <f t="shared" si="23"/>
        <v>10</v>
      </c>
      <c r="G119" s="2">
        <f t="shared" si="24"/>
        <v>9</v>
      </c>
      <c r="H119" s="10"/>
      <c r="I119" s="11"/>
      <c r="J119" s="10"/>
      <c r="K119" s="10"/>
      <c r="L119" s="11"/>
      <c r="M119" s="11">
        <f t="shared" si="21"/>
        <v>160803.07232488191</v>
      </c>
      <c r="N119" s="11">
        <f t="shared" si="25"/>
        <v>-1015.8286833289642</v>
      </c>
      <c r="O119" s="12">
        <f t="shared" si="22"/>
        <v>-526.4736601855077</v>
      </c>
      <c r="P119" s="10">
        <f t="shared" si="20"/>
        <v>-211027.66665973456</v>
      </c>
      <c r="Q119" s="13"/>
      <c r="R119" s="10"/>
      <c r="S119" s="10"/>
    </row>
    <row r="120" spans="6:19" x14ac:dyDescent="0.25">
      <c r="F120" s="2">
        <f t="shared" si="23"/>
        <v>10</v>
      </c>
      <c r="G120" s="2">
        <f t="shared" si="24"/>
        <v>10</v>
      </c>
      <c r="H120" s="10"/>
      <c r="I120" s="11"/>
      <c r="J120" s="10"/>
      <c r="K120" s="10"/>
      <c r="L120" s="11"/>
      <c r="M120" s="11">
        <f t="shared" si="21"/>
        <v>161458.20394632444</v>
      </c>
      <c r="N120" s="11">
        <f t="shared" si="25"/>
        <v>-1015.8286833289642</v>
      </c>
      <c r="O120" s="12">
        <f t="shared" si="22"/>
        <v>-524.47996724706559</v>
      </c>
      <c r="P120" s="10">
        <f t="shared" si="20"/>
        <v>-211552.14662698162</v>
      </c>
      <c r="Q120" s="13"/>
      <c r="R120" s="10"/>
      <c r="S120" s="10"/>
    </row>
    <row r="121" spans="6:19" x14ac:dyDescent="0.25">
      <c r="F121" s="2">
        <f t="shared" si="23"/>
        <v>10</v>
      </c>
      <c r="G121" s="2">
        <f t="shared" si="24"/>
        <v>11</v>
      </c>
      <c r="H121" s="10"/>
      <c r="I121" s="11"/>
      <c r="J121" s="10"/>
      <c r="K121" s="10"/>
      <c r="L121" s="11"/>
      <c r="M121" s="11">
        <f t="shared" si="21"/>
        <v>162116.00465508731</v>
      </c>
      <c r="N121" s="11">
        <f t="shared" si="25"/>
        <v>-1015.8286833289642</v>
      </c>
      <c r="O121" s="12">
        <f t="shared" si="22"/>
        <v>-522.47815175681558</v>
      </c>
      <c r="P121" s="10">
        <f t="shared" si="20"/>
        <v>-212074.62477873842</v>
      </c>
      <c r="Q121" s="13"/>
      <c r="R121" s="10"/>
      <c r="S121" s="10"/>
    </row>
    <row r="122" spans="6:19" x14ac:dyDescent="0.25">
      <c r="F122" s="2">
        <f t="shared" si="23"/>
        <v>10</v>
      </c>
      <c r="G122" s="2">
        <f t="shared" si="24"/>
        <v>12</v>
      </c>
      <c r="H122" s="10"/>
      <c r="I122" s="11"/>
      <c r="J122" s="10"/>
      <c r="K122" s="10"/>
      <c r="L122" s="11"/>
      <c r="M122" s="11">
        <f t="shared" si="21"/>
        <v>162776.48532536265</v>
      </c>
      <c r="N122" s="11">
        <f t="shared" si="25"/>
        <v>-1015.8286833289642</v>
      </c>
      <c r="O122" s="12">
        <f>(M122-M121)*(1-$C$33)+N122+$C$30</f>
        <v>127019.16735756795</v>
      </c>
      <c r="P122" s="10">
        <f t="shared" si="20"/>
        <v>-85055.457421170475</v>
      </c>
      <c r="Q122" s="13"/>
      <c r="R122" s="10"/>
      <c r="S122" s="10"/>
    </row>
    <row r="123" spans="6:19" x14ac:dyDescent="0.25">
      <c r="F123" s="2"/>
      <c r="G123" s="2"/>
      <c r="H123" s="10"/>
      <c r="I123" s="11"/>
      <c r="J123" s="10"/>
      <c r="K123" s="10"/>
      <c r="L123" s="11"/>
      <c r="M123" s="11"/>
      <c r="N123" s="11"/>
      <c r="O123" s="12"/>
      <c r="P123" s="10"/>
      <c r="Q123" s="13"/>
      <c r="R123" s="10"/>
      <c r="S123" s="10"/>
    </row>
    <row r="124" spans="6:19" x14ac:dyDescent="0.25">
      <c r="F124" s="2"/>
      <c r="G124" s="2"/>
      <c r="H124" s="10"/>
      <c r="I124" s="11"/>
      <c r="J124" s="10"/>
      <c r="K124" s="10"/>
      <c r="L124" s="11"/>
      <c r="M124" s="11"/>
      <c r="N124" s="11"/>
      <c r="O124" s="12"/>
      <c r="P124" s="10"/>
      <c r="Q124" s="13"/>
      <c r="R124" s="10"/>
      <c r="S124" s="10"/>
    </row>
    <row r="125" spans="6:19" x14ac:dyDescent="0.25">
      <c r="F125" s="2"/>
      <c r="G125" t="s">
        <v>42</v>
      </c>
      <c r="H125" s="10"/>
      <c r="I125" s="11"/>
      <c r="J125" s="10"/>
      <c r="K125" s="10"/>
      <c r="L125" s="11"/>
      <c r="M125" s="11"/>
      <c r="N125" s="11"/>
      <c r="O125" s="12"/>
      <c r="P125" s="10"/>
      <c r="Q125" s="13"/>
      <c r="R125" s="10"/>
      <c r="S125" s="10"/>
    </row>
    <row r="126" spans="6:19" x14ac:dyDescent="0.25">
      <c r="F126" s="2"/>
      <c r="G126" s="15">
        <f>NPV(4%,G129:G139)</f>
        <v>-104773.07275951304</v>
      </c>
      <c r="H126" s="10">
        <v>-124495.90263716056</v>
      </c>
      <c r="I126" s="11"/>
      <c r="J126" s="10"/>
      <c r="K126" s="10"/>
      <c r="L126" s="11"/>
      <c r="M126" s="11"/>
      <c r="N126" s="11"/>
      <c r="O126" s="12"/>
      <c r="P126" s="10"/>
      <c r="Q126" s="13"/>
      <c r="R126" s="10"/>
      <c r="S126" s="10"/>
    </row>
    <row r="127" spans="6:19" x14ac:dyDescent="0.25">
      <c r="F127" s="2"/>
      <c r="H127" s="10"/>
      <c r="I127" s="11"/>
      <c r="J127" s="10"/>
      <c r="K127" s="10"/>
      <c r="L127" s="11"/>
      <c r="M127" s="11"/>
      <c r="N127" s="11"/>
      <c r="O127" s="12"/>
      <c r="P127" s="10"/>
      <c r="Q127" s="13"/>
      <c r="R127" s="10"/>
      <c r="S127" s="10"/>
    </row>
    <row r="128" spans="6:19" x14ac:dyDescent="0.25">
      <c r="F128" s="2" t="s">
        <v>0</v>
      </c>
      <c r="G128" s="2" t="s">
        <v>48</v>
      </c>
      <c r="H128" s="10"/>
      <c r="I128" s="11"/>
      <c r="J128" s="10"/>
      <c r="K128" s="10"/>
      <c r="L128" s="11"/>
      <c r="M128" s="11"/>
      <c r="N128" s="11"/>
      <c r="O128" s="12"/>
      <c r="P128" s="10"/>
      <c r="Q128" s="13"/>
      <c r="R128" s="10"/>
      <c r="S128" s="10"/>
    </row>
    <row r="129" spans="6:19" x14ac:dyDescent="0.25">
      <c r="F129" s="2">
        <v>0</v>
      </c>
      <c r="G129" s="2">
        <f>SUMIFS($O$2:$O$122,$F$2:$F$122,F129)</f>
        <v>-100000</v>
      </c>
      <c r="H129" s="10"/>
      <c r="I129" s="11"/>
      <c r="J129" s="10"/>
      <c r="K129" s="10"/>
      <c r="L129" s="11"/>
      <c r="M129" s="11"/>
      <c r="N129" s="11"/>
      <c r="O129" s="12"/>
      <c r="P129" s="10"/>
      <c r="Q129" s="13"/>
      <c r="R129" s="10"/>
      <c r="S129" s="10"/>
    </row>
    <row r="130" spans="6:19" x14ac:dyDescent="0.25">
      <c r="F130" s="2">
        <f>F129+1</f>
        <v>1</v>
      </c>
      <c r="G130" s="21">
        <f t="shared" ref="G130:G139" si="26">SUMIFS($O$2:$O$122,$F$2:$F$122,F130)</f>
        <v>-15908.273878795242</v>
      </c>
      <c r="H130" s="10"/>
      <c r="I130" s="11"/>
      <c r="J130" s="10"/>
      <c r="K130" s="10"/>
      <c r="L130" s="11"/>
      <c r="M130" s="11"/>
      <c r="N130" s="11"/>
      <c r="O130" s="12"/>
      <c r="P130" s="10"/>
      <c r="Q130" s="13"/>
      <c r="R130" s="10"/>
      <c r="S130" s="10"/>
    </row>
    <row r="131" spans="6:19" x14ac:dyDescent="0.25">
      <c r="F131" s="2">
        <f t="shared" ref="F131:F138" si="27">F130+1</f>
        <v>2</v>
      </c>
      <c r="G131" s="21">
        <f t="shared" si="26"/>
        <v>-15993.773878795242</v>
      </c>
      <c r="H131" s="10"/>
      <c r="I131" s="11"/>
      <c r="J131" s="10"/>
      <c r="K131" s="10"/>
      <c r="L131" s="11"/>
      <c r="M131" s="11"/>
      <c r="N131" s="11"/>
      <c r="O131" s="12"/>
      <c r="P131" s="10"/>
      <c r="Q131" s="13"/>
      <c r="R131" s="10"/>
      <c r="S131" s="10"/>
    </row>
    <row r="132" spans="6:19" x14ac:dyDescent="0.25">
      <c r="F132" s="2">
        <f t="shared" si="27"/>
        <v>3</v>
      </c>
      <c r="G132" s="21">
        <f t="shared" si="26"/>
        <v>-16081.291378795244</v>
      </c>
      <c r="H132" s="10"/>
      <c r="I132" s="11"/>
      <c r="J132" s="10"/>
      <c r="K132" s="10"/>
      <c r="L132" s="11"/>
      <c r="M132" s="11"/>
      <c r="N132" s="11"/>
      <c r="O132" s="12"/>
      <c r="P132" s="10"/>
      <c r="Q132" s="13"/>
      <c r="R132" s="10"/>
      <c r="S132" s="10"/>
    </row>
    <row r="133" spans="6:19" x14ac:dyDescent="0.25">
      <c r="F133" s="2">
        <f t="shared" si="27"/>
        <v>4</v>
      </c>
      <c r="G133" s="21">
        <f t="shared" si="26"/>
        <v>-16170.874416295243</v>
      </c>
    </row>
    <row r="134" spans="6:19" x14ac:dyDescent="0.25">
      <c r="F134" s="2">
        <f t="shared" si="27"/>
        <v>5</v>
      </c>
      <c r="G134" s="21">
        <f t="shared" si="26"/>
        <v>-16262.57218173275</v>
      </c>
    </row>
    <row r="135" spans="6:19" x14ac:dyDescent="0.25">
      <c r="F135" s="2">
        <f t="shared" si="27"/>
        <v>6</v>
      </c>
      <c r="G135" s="21">
        <f t="shared" si="26"/>
        <v>-6478.8878599578156</v>
      </c>
    </row>
    <row r="136" spans="6:19" x14ac:dyDescent="0.25">
      <c r="F136" s="2">
        <f t="shared" si="27"/>
        <v>7</v>
      </c>
      <c r="G136" s="21">
        <f t="shared" si="26"/>
        <v>-6464.9835271764568</v>
      </c>
    </row>
    <row r="137" spans="6:19" x14ac:dyDescent="0.25">
      <c r="F137" s="2">
        <f t="shared" si="27"/>
        <v>8</v>
      </c>
      <c r="G137" s="21">
        <f t="shared" si="26"/>
        <v>-6443.6270032405437</v>
      </c>
    </row>
    <row r="138" spans="6:19" x14ac:dyDescent="0.25">
      <c r="F138" s="2">
        <f t="shared" si="27"/>
        <v>9</v>
      </c>
      <c r="G138" s="21">
        <f t="shared" si="26"/>
        <v>-6414.3105391018553</v>
      </c>
    </row>
    <row r="139" spans="6:19" x14ac:dyDescent="0.25">
      <c r="F139" s="2">
        <f t="shared" ref="F139" si="28">F138+1</f>
        <v>10</v>
      </c>
      <c r="G139" s="21">
        <f t="shared" si="26"/>
        <v>121163.13724272013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0A0C-8FB4-4C60-9D9E-4D551A7A8BCA}">
  <dimension ref="B1:AA139"/>
  <sheetViews>
    <sheetView topLeftCell="B1" workbookViewId="0">
      <pane ySplit="1" topLeftCell="A120" activePane="bottomLeft" state="frozen"/>
      <selection pane="bottomLeft" activeCell="D140" sqref="D140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5" max="15" width="10.85546875" customWidth="1"/>
    <col min="16" max="16" width="12.85546875" customWidth="1"/>
    <col min="22" max="22" width="11.28515625" bestFit="1" customWidth="1"/>
  </cols>
  <sheetData>
    <row r="1" spans="2:27" x14ac:dyDescent="0.25">
      <c r="F1" t="s">
        <v>0</v>
      </c>
      <c r="G1" t="s">
        <v>17</v>
      </c>
      <c r="H1" t="s">
        <v>4</v>
      </c>
      <c r="I1" t="s">
        <v>5</v>
      </c>
      <c r="J1" t="s">
        <v>6</v>
      </c>
      <c r="K1" t="s">
        <v>33</v>
      </c>
      <c r="L1" t="s">
        <v>28</v>
      </c>
      <c r="M1" t="s">
        <v>40</v>
      </c>
      <c r="N1" t="s">
        <v>50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2:27" x14ac:dyDescent="0.25">
      <c r="F2">
        <v>0</v>
      </c>
      <c r="G2">
        <v>0</v>
      </c>
      <c r="K2" s="16">
        <f>$C$11</f>
        <v>188250</v>
      </c>
      <c r="O2" s="16">
        <f>-$C$10</f>
        <v>-100000</v>
      </c>
      <c r="P2" s="17">
        <f>O2</f>
        <v>-100000</v>
      </c>
    </row>
    <row r="3" spans="2:27" x14ac:dyDescent="0.25">
      <c r="F3" s="2">
        <v>1</v>
      </c>
      <c r="G3" s="2">
        <v>1</v>
      </c>
      <c r="H3" s="10">
        <f t="shared" ref="H3:H66" si="0">-$C$14</f>
        <v>-1044.0299779600027</v>
      </c>
      <c r="I3" s="11">
        <f>-K2*$D$12</f>
        <v>-470.625</v>
      </c>
      <c r="J3" s="10">
        <f>H3-I3</f>
        <v>-573.40497796000273</v>
      </c>
      <c r="K3" s="10">
        <f>K2+J3</f>
        <v>187676.59502204001</v>
      </c>
      <c r="L3" s="11">
        <f t="shared" ref="L3:L34" si="1">-($C$15/12+$C$17*$C$11/12+$C$18/12*(1+$C$19)^($F3-1)+$C$20*Q3/12)</f>
        <v>-449.63541666666663</v>
      </c>
      <c r="M3" s="11"/>
      <c r="N3" s="11"/>
      <c r="O3" s="12">
        <f t="shared" ref="O3:O34" si="2">L3+H3</f>
        <v>-1493.6653946266692</v>
      </c>
      <c r="P3" s="10">
        <f>P2+O3</f>
        <v>-101493.66539462667</v>
      </c>
      <c r="Q3" s="13">
        <f>$C$4*(1+$C$21)^($F3)</f>
        <v>252500</v>
      </c>
      <c r="R3" s="10">
        <f t="shared" ref="R3:R34" si="3">K3</f>
        <v>187676.59502204001</v>
      </c>
      <c r="S3" s="10">
        <f>Q3-R3+P3</f>
        <v>-36670.260416666686</v>
      </c>
      <c r="U3" s="2"/>
      <c r="V3" s="2"/>
      <c r="W3" s="4"/>
      <c r="X3" s="2"/>
      <c r="Y3" s="2"/>
      <c r="Z3" s="2"/>
      <c r="AA3" s="2"/>
    </row>
    <row r="4" spans="2:27" x14ac:dyDescent="0.25">
      <c r="B4" t="s">
        <v>9</v>
      </c>
      <c r="C4">
        <v>250000</v>
      </c>
      <c r="F4" s="2">
        <v>1</v>
      </c>
      <c r="G4" s="2">
        <v>2</v>
      </c>
      <c r="H4" s="10">
        <f t="shared" si="0"/>
        <v>-1044.0299779600027</v>
      </c>
      <c r="I4" s="11">
        <f>-K3*$D$12</f>
        <v>-469.19148755510003</v>
      </c>
      <c r="J4" s="10">
        <f>H4-I4</f>
        <v>-574.8384904049027</v>
      </c>
      <c r="K4" s="10">
        <f t="shared" ref="K4:K62" si="4">K3+J4</f>
        <v>187101.7565316351</v>
      </c>
      <c r="L4" s="11">
        <f t="shared" si="1"/>
        <v>-449.63541666666663</v>
      </c>
      <c r="M4" s="11"/>
      <c r="N4" s="11"/>
      <c r="O4" s="12">
        <f t="shared" si="2"/>
        <v>-1493.6653946266692</v>
      </c>
      <c r="P4" s="10">
        <f>P3+O4</f>
        <v>-102987.33078925335</v>
      </c>
      <c r="Q4" s="13">
        <f t="shared" ref="Q4:Q67" si="5">$C$4*(1+$C$21)^($F4)</f>
        <v>252500</v>
      </c>
      <c r="R4" s="10">
        <f t="shared" si="3"/>
        <v>187101.7565316351</v>
      </c>
      <c r="S4" s="10">
        <f t="shared" ref="S4:S18" si="6">Q4-R4+P4</f>
        <v>-37589.087320888444</v>
      </c>
      <c r="U4" s="2"/>
      <c r="V4" s="2"/>
      <c r="W4" s="4"/>
      <c r="X4" s="2"/>
      <c r="Y4" s="2"/>
      <c r="Z4" s="2"/>
      <c r="AA4" s="2"/>
    </row>
    <row r="5" spans="2:27" x14ac:dyDescent="0.25">
      <c r="B5" t="s">
        <v>10</v>
      </c>
      <c r="C5" s="7">
        <v>7.4999999999999997E-2</v>
      </c>
      <c r="F5" s="2">
        <v>1</v>
      </c>
      <c r="G5" s="2">
        <v>3</v>
      </c>
      <c r="H5" s="10">
        <f t="shared" si="0"/>
        <v>-1044.0299779600027</v>
      </c>
      <c r="I5" s="11">
        <f>-K4*$D$12</f>
        <v>-467.75439132908775</v>
      </c>
      <c r="J5" s="10">
        <f t="shared" ref="J5:J62" si="7">H5-I5</f>
        <v>-576.27558663091497</v>
      </c>
      <c r="K5" s="10">
        <f t="shared" si="4"/>
        <v>186525.48094500418</v>
      </c>
      <c r="L5" s="11">
        <f t="shared" si="1"/>
        <v>-449.63541666666663</v>
      </c>
      <c r="M5" s="11"/>
      <c r="N5" s="11"/>
      <c r="O5" s="12">
        <f t="shared" si="2"/>
        <v>-1493.6653946266692</v>
      </c>
      <c r="P5" s="10">
        <f>P4+O5</f>
        <v>-104480.99618388002</v>
      </c>
      <c r="Q5" s="13">
        <f t="shared" si="5"/>
        <v>252500</v>
      </c>
      <c r="R5" s="10">
        <f t="shared" si="3"/>
        <v>186525.48094500418</v>
      </c>
      <c r="S5" s="10">
        <f t="shared" si="6"/>
        <v>-38506.477128884202</v>
      </c>
      <c r="U5" s="2"/>
      <c r="V5" s="2"/>
      <c r="W5" s="4"/>
      <c r="X5" s="2"/>
      <c r="Y5" s="2"/>
      <c r="Z5" s="2"/>
      <c r="AA5" s="2"/>
    </row>
    <row r="6" spans="2:27" x14ac:dyDescent="0.25">
      <c r="B6" t="s">
        <v>11</v>
      </c>
      <c r="C6" s="7">
        <v>0.03</v>
      </c>
      <c r="F6" s="2">
        <v>1</v>
      </c>
      <c r="G6" s="2">
        <v>4</v>
      </c>
      <c r="H6" s="10">
        <f t="shared" si="0"/>
        <v>-1044.0299779600027</v>
      </c>
      <c r="I6" s="11">
        <f t="shared" ref="I6:I62" si="8">-K5*$D$12</f>
        <v>-466.31370236251047</v>
      </c>
      <c r="J6" s="10">
        <f t="shared" si="7"/>
        <v>-577.71627559749231</v>
      </c>
      <c r="K6" s="10">
        <f t="shared" si="4"/>
        <v>185947.76466940669</v>
      </c>
      <c r="L6" s="11">
        <f t="shared" si="1"/>
        <v>-449.63541666666663</v>
      </c>
      <c r="M6" s="11"/>
      <c r="N6" s="11"/>
      <c r="O6" s="12">
        <f t="shared" si="2"/>
        <v>-1493.6653946266692</v>
      </c>
      <c r="P6" s="10">
        <f t="shared" ref="P6:P61" si="9">P5+O6</f>
        <v>-105974.6615785067</v>
      </c>
      <c r="Q6" s="13">
        <f t="shared" si="5"/>
        <v>252500</v>
      </c>
      <c r="R6" s="10">
        <f t="shared" si="3"/>
        <v>185947.76466940669</v>
      </c>
      <c r="S6" s="10">
        <f t="shared" si="6"/>
        <v>-39422.42624791339</v>
      </c>
      <c r="U6" s="2"/>
      <c r="V6" s="2"/>
      <c r="W6" s="4"/>
      <c r="X6" s="2"/>
      <c r="Y6" s="2"/>
      <c r="Z6" s="2"/>
      <c r="AA6" s="2"/>
    </row>
    <row r="7" spans="2:27" x14ac:dyDescent="0.25">
      <c r="B7" t="s">
        <v>12</v>
      </c>
      <c r="C7">
        <v>10000</v>
      </c>
      <c r="F7" s="2">
        <v>1</v>
      </c>
      <c r="G7" s="2">
        <v>5</v>
      </c>
      <c r="H7" s="10">
        <f t="shared" si="0"/>
        <v>-1044.0299779600027</v>
      </c>
      <c r="I7" s="11">
        <f t="shared" si="8"/>
        <v>-464.86941167351677</v>
      </c>
      <c r="J7" s="10">
        <f t="shared" si="7"/>
        <v>-579.16056628648596</v>
      </c>
      <c r="K7" s="10">
        <f t="shared" si="4"/>
        <v>185368.60410312022</v>
      </c>
      <c r="L7" s="11">
        <f t="shared" si="1"/>
        <v>-449.63541666666663</v>
      </c>
      <c r="M7" s="11"/>
      <c r="N7" s="11"/>
      <c r="O7" s="12">
        <f t="shared" si="2"/>
        <v>-1493.6653946266692</v>
      </c>
      <c r="P7" s="10">
        <f t="shared" si="9"/>
        <v>-107468.32697313337</v>
      </c>
      <c r="Q7" s="13">
        <f t="shared" si="5"/>
        <v>252500</v>
      </c>
      <c r="R7" s="10">
        <f t="shared" si="3"/>
        <v>185368.60410312022</v>
      </c>
      <c r="S7" s="10">
        <f t="shared" si="6"/>
        <v>-40336.93107625359</v>
      </c>
      <c r="U7" s="2"/>
      <c r="V7" s="2"/>
      <c r="W7" s="4"/>
      <c r="X7" s="2"/>
      <c r="Y7" s="2"/>
      <c r="Z7" s="2"/>
      <c r="AA7" s="2"/>
    </row>
    <row r="8" spans="2:27" x14ac:dyDescent="0.25">
      <c r="B8" t="s">
        <v>13</v>
      </c>
      <c r="C8">
        <v>2000</v>
      </c>
      <c r="F8" s="2">
        <v>1</v>
      </c>
      <c r="G8" s="2">
        <v>6</v>
      </c>
      <c r="H8" s="10">
        <f t="shared" si="0"/>
        <v>-1044.0299779600027</v>
      </c>
      <c r="I8" s="11">
        <f t="shared" si="8"/>
        <v>-463.42151025780055</v>
      </c>
      <c r="J8" s="10">
        <f t="shared" si="7"/>
        <v>-580.60846770220223</v>
      </c>
      <c r="K8" s="10">
        <f t="shared" si="4"/>
        <v>184787.99563541802</v>
      </c>
      <c r="L8" s="11">
        <f t="shared" si="1"/>
        <v>-449.63541666666663</v>
      </c>
      <c r="M8" s="11"/>
      <c r="N8" s="11"/>
      <c r="O8" s="12">
        <f t="shared" si="2"/>
        <v>-1493.6653946266692</v>
      </c>
      <c r="P8" s="10">
        <f t="shared" si="9"/>
        <v>-108961.99236776005</v>
      </c>
      <c r="Q8" s="13">
        <f t="shared" si="5"/>
        <v>252500</v>
      </c>
      <c r="R8" s="10">
        <f t="shared" si="3"/>
        <v>184787.99563541802</v>
      </c>
      <c r="S8" s="10">
        <f t="shared" si="6"/>
        <v>-41249.988003178063</v>
      </c>
      <c r="U8" s="2"/>
      <c r="V8" s="2"/>
      <c r="W8" s="4"/>
      <c r="X8" s="2"/>
      <c r="Y8" s="2"/>
      <c r="Z8" s="2"/>
      <c r="AA8" s="2"/>
    </row>
    <row r="9" spans="2:27" x14ac:dyDescent="0.25">
      <c r="B9" t="s">
        <v>14</v>
      </c>
      <c r="C9">
        <f>C4+(C5+C6)*C4+C7+C8</f>
        <v>288250</v>
      </c>
      <c r="F9" s="2">
        <v>1</v>
      </c>
      <c r="G9" s="2">
        <v>7</v>
      </c>
      <c r="H9" s="10">
        <f t="shared" si="0"/>
        <v>-1044.0299779600027</v>
      </c>
      <c r="I9" s="11">
        <f t="shared" si="8"/>
        <v>-461.96998908854505</v>
      </c>
      <c r="J9" s="10">
        <f t="shared" si="7"/>
        <v>-582.05998887145768</v>
      </c>
      <c r="K9" s="10">
        <f t="shared" si="4"/>
        <v>184205.93564654657</v>
      </c>
      <c r="L9" s="11">
        <f t="shared" si="1"/>
        <v>-449.63541666666663</v>
      </c>
      <c r="M9" s="11"/>
      <c r="N9" s="11"/>
      <c r="O9" s="12">
        <f t="shared" si="2"/>
        <v>-1493.6653946266692</v>
      </c>
      <c r="P9" s="10">
        <f t="shared" si="9"/>
        <v>-110455.65776238672</v>
      </c>
      <c r="Q9" s="13">
        <f t="shared" si="5"/>
        <v>252500</v>
      </c>
      <c r="R9" s="10">
        <f t="shared" si="3"/>
        <v>184205.93564654657</v>
      </c>
      <c r="S9" s="10">
        <f t="shared" si="6"/>
        <v>-42161.593408933288</v>
      </c>
      <c r="U9" s="2"/>
      <c r="V9" s="2"/>
      <c r="W9" s="4"/>
      <c r="X9" s="2"/>
      <c r="Y9" s="2"/>
      <c r="Z9" s="2"/>
      <c r="AA9" s="2"/>
    </row>
    <row r="10" spans="2:27" x14ac:dyDescent="0.25">
      <c r="B10" t="s">
        <v>15</v>
      </c>
      <c r="C10">
        <v>100000</v>
      </c>
      <c r="F10" s="2">
        <v>1</v>
      </c>
      <c r="G10" s="2">
        <v>8</v>
      </c>
      <c r="H10" s="10">
        <f t="shared" si="0"/>
        <v>-1044.0299779600027</v>
      </c>
      <c r="I10" s="11">
        <f t="shared" si="8"/>
        <v>-460.51483911636643</v>
      </c>
      <c r="J10" s="10">
        <f t="shared" si="7"/>
        <v>-583.51513884363635</v>
      </c>
      <c r="K10" s="10">
        <f t="shared" si="4"/>
        <v>183622.42050770292</v>
      </c>
      <c r="L10" s="11">
        <f t="shared" si="1"/>
        <v>-449.63541666666663</v>
      </c>
      <c r="M10" s="11"/>
      <c r="N10" s="11"/>
      <c r="O10" s="12">
        <f t="shared" si="2"/>
        <v>-1493.6653946266692</v>
      </c>
      <c r="P10" s="10">
        <f t="shared" si="9"/>
        <v>-111949.32315701339</v>
      </c>
      <c r="Q10" s="13">
        <f t="shared" si="5"/>
        <v>252500</v>
      </c>
      <c r="R10" s="10">
        <f t="shared" si="3"/>
        <v>183622.42050770292</v>
      </c>
      <c r="S10" s="10">
        <f t="shared" si="6"/>
        <v>-43071.743664716312</v>
      </c>
      <c r="U10" s="2"/>
      <c r="V10" s="2"/>
      <c r="W10" s="4"/>
      <c r="X10" s="2"/>
      <c r="Y10" s="2"/>
      <c r="Z10" s="2"/>
      <c r="AA10" s="2"/>
    </row>
    <row r="11" spans="2:27" x14ac:dyDescent="0.25">
      <c r="B11" t="s">
        <v>16</v>
      </c>
      <c r="C11">
        <f>C9-C10</f>
        <v>188250</v>
      </c>
      <c r="F11" s="2">
        <v>1</v>
      </c>
      <c r="G11" s="2">
        <v>9</v>
      </c>
      <c r="H11" s="10">
        <f t="shared" si="0"/>
        <v>-1044.0299779600027</v>
      </c>
      <c r="I11" s="11">
        <f t="shared" si="8"/>
        <v>-459.0560512692573</v>
      </c>
      <c r="J11" s="10">
        <f t="shared" si="7"/>
        <v>-584.97392669074543</v>
      </c>
      <c r="K11" s="10">
        <f t="shared" si="4"/>
        <v>183037.44658101216</v>
      </c>
      <c r="L11" s="11">
        <f t="shared" si="1"/>
        <v>-449.63541666666663</v>
      </c>
      <c r="M11" s="11"/>
      <c r="N11" s="11"/>
      <c r="O11" s="12">
        <f t="shared" si="2"/>
        <v>-1493.6653946266692</v>
      </c>
      <c r="P11" s="10">
        <f t="shared" si="9"/>
        <v>-113442.98855164007</v>
      </c>
      <c r="Q11" s="13">
        <f t="shared" si="5"/>
        <v>252500</v>
      </c>
      <c r="R11" s="10">
        <f t="shared" si="3"/>
        <v>183037.44658101216</v>
      </c>
      <c r="S11" s="10">
        <f t="shared" si="6"/>
        <v>-43980.43513265223</v>
      </c>
      <c r="U11" s="2"/>
      <c r="V11" s="2"/>
      <c r="W11" s="4"/>
      <c r="X11" s="2"/>
      <c r="Y11" s="2"/>
      <c r="Z11" s="2"/>
      <c r="AA11" s="2"/>
    </row>
    <row r="12" spans="2:27" x14ac:dyDescent="0.25">
      <c r="B12" t="s">
        <v>7</v>
      </c>
      <c r="C12" s="7">
        <v>0.03</v>
      </c>
      <c r="D12" s="9">
        <f>C12/12</f>
        <v>2.5000000000000001E-3</v>
      </c>
      <c r="E12" s="9"/>
      <c r="F12" s="2">
        <v>1</v>
      </c>
      <c r="G12" s="2">
        <v>10</v>
      </c>
      <c r="H12" s="10">
        <f t="shared" si="0"/>
        <v>-1044.0299779600027</v>
      </c>
      <c r="I12" s="11">
        <f t="shared" si="8"/>
        <v>-457.5936164525304</v>
      </c>
      <c r="J12" s="10">
        <f t="shared" si="7"/>
        <v>-586.43636150747238</v>
      </c>
      <c r="K12" s="10">
        <f t="shared" si="4"/>
        <v>182451.01021950468</v>
      </c>
      <c r="L12" s="11">
        <f t="shared" si="1"/>
        <v>-449.63541666666663</v>
      </c>
      <c r="M12" s="11"/>
      <c r="N12" s="11"/>
      <c r="O12" s="12">
        <f t="shared" si="2"/>
        <v>-1493.6653946266692</v>
      </c>
      <c r="P12" s="10">
        <f t="shared" si="9"/>
        <v>-114936.65394626674</v>
      </c>
      <c r="Q12" s="13">
        <f t="shared" si="5"/>
        <v>252500</v>
      </c>
      <c r="R12" s="10">
        <f t="shared" si="3"/>
        <v>182451.01021950468</v>
      </c>
      <c r="S12" s="10">
        <f t="shared" si="6"/>
        <v>-44887.664165771421</v>
      </c>
      <c r="U12" s="2"/>
      <c r="V12" s="2"/>
      <c r="W12" s="4"/>
      <c r="X12" s="2"/>
      <c r="Y12" s="2"/>
      <c r="Z12" s="2"/>
      <c r="AA12" s="2"/>
    </row>
    <row r="13" spans="2:27" x14ac:dyDescent="0.25">
      <c r="B13" t="s">
        <v>8</v>
      </c>
      <c r="C13">
        <v>20</v>
      </c>
      <c r="D13" s="8">
        <f>C13*12</f>
        <v>240</v>
      </c>
      <c r="E13" s="8"/>
      <c r="F13" s="2">
        <v>1</v>
      </c>
      <c r="G13" s="2">
        <v>11</v>
      </c>
      <c r="H13" s="10">
        <f t="shared" si="0"/>
        <v>-1044.0299779600027</v>
      </c>
      <c r="I13" s="11">
        <f t="shared" si="8"/>
        <v>-456.1275255487617</v>
      </c>
      <c r="J13" s="10">
        <f t="shared" si="7"/>
        <v>-587.90245241124103</v>
      </c>
      <c r="K13" s="10">
        <f t="shared" si="4"/>
        <v>181863.10776709343</v>
      </c>
      <c r="L13" s="11">
        <f t="shared" si="1"/>
        <v>-449.63541666666663</v>
      </c>
      <c r="M13" s="11"/>
      <c r="N13" s="11"/>
      <c r="O13" s="12">
        <f t="shared" si="2"/>
        <v>-1493.6653946266692</v>
      </c>
      <c r="P13" s="10">
        <f t="shared" si="9"/>
        <v>-116430.31934089342</v>
      </c>
      <c r="Q13" s="13">
        <f t="shared" si="5"/>
        <v>252500</v>
      </c>
      <c r="R13" s="10">
        <f t="shared" si="3"/>
        <v>181863.10776709343</v>
      </c>
      <c r="S13" s="10">
        <f t="shared" si="6"/>
        <v>-45793.427107986849</v>
      </c>
      <c r="U13" s="2"/>
      <c r="V13" s="2"/>
      <c r="W13" s="4"/>
      <c r="X13" s="2"/>
      <c r="Y13" s="2"/>
      <c r="Z13" s="2"/>
      <c r="AA13" s="2"/>
    </row>
    <row r="14" spans="2:27" x14ac:dyDescent="0.25">
      <c r="B14" t="s">
        <v>32</v>
      </c>
      <c r="C14" s="3">
        <f>C11*(D12*(1+D12)^D13)/((1+D12)^D13-1)</f>
        <v>1044.0299779600027</v>
      </c>
      <c r="F14" s="2">
        <v>1</v>
      </c>
      <c r="G14" s="2">
        <v>12</v>
      </c>
      <c r="H14" s="10">
        <f t="shared" si="0"/>
        <v>-1044.0299779600027</v>
      </c>
      <c r="I14" s="11">
        <f t="shared" si="8"/>
        <v>-454.65776941773356</v>
      </c>
      <c r="J14" s="10">
        <f t="shared" si="7"/>
        <v>-589.37220854226916</v>
      </c>
      <c r="K14" s="10">
        <f t="shared" si="4"/>
        <v>181273.73555855115</v>
      </c>
      <c r="L14" s="11">
        <f t="shared" si="1"/>
        <v>-449.63541666666663</v>
      </c>
      <c r="M14" s="11"/>
      <c r="N14" s="11"/>
      <c r="O14" s="12">
        <f t="shared" si="2"/>
        <v>-1493.6653946266692</v>
      </c>
      <c r="P14" s="10">
        <f t="shared" si="9"/>
        <v>-117923.98473552009</v>
      </c>
      <c r="Q14" s="13">
        <f t="shared" si="5"/>
        <v>252500</v>
      </c>
      <c r="R14" s="10">
        <f t="shared" si="3"/>
        <v>181273.73555855115</v>
      </c>
      <c r="S14" s="10">
        <f t="shared" si="6"/>
        <v>-46697.720294071245</v>
      </c>
      <c r="U14" s="2"/>
      <c r="V14" s="2"/>
      <c r="W14" s="4"/>
      <c r="X14" s="2"/>
      <c r="Y14" s="2"/>
      <c r="Z14" s="2"/>
      <c r="AA14" s="2"/>
    </row>
    <row r="15" spans="2:27" x14ac:dyDescent="0.25">
      <c r="B15" t="s">
        <v>23</v>
      </c>
      <c r="C15" s="2">
        <v>1200</v>
      </c>
      <c r="F15" s="2">
        <f>F3+1</f>
        <v>2</v>
      </c>
      <c r="G15" s="2">
        <f>G3</f>
        <v>1</v>
      </c>
      <c r="H15" s="10">
        <f t="shared" si="0"/>
        <v>-1044.0299779600027</v>
      </c>
      <c r="I15" s="11">
        <f t="shared" si="8"/>
        <v>-453.18433889637788</v>
      </c>
      <c r="J15" s="10">
        <f t="shared" si="7"/>
        <v>-590.84563906362484</v>
      </c>
      <c r="K15" s="10">
        <f t="shared" si="4"/>
        <v>180682.88991948753</v>
      </c>
      <c r="L15" s="11">
        <f t="shared" si="1"/>
        <v>-453.73958333333337</v>
      </c>
      <c r="M15" s="11"/>
      <c r="N15" s="11"/>
      <c r="O15" s="12">
        <f t="shared" si="2"/>
        <v>-1497.7695612933362</v>
      </c>
      <c r="P15" s="10">
        <f t="shared" si="9"/>
        <v>-119421.75429681342</v>
      </c>
      <c r="Q15" s="13">
        <f t="shared" si="5"/>
        <v>255025</v>
      </c>
      <c r="R15" s="10">
        <f t="shared" si="3"/>
        <v>180682.88991948753</v>
      </c>
      <c r="S15" s="10">
        <f t="shared" si="6"/>
        <v>-45079.644216300949</v>
      </c>
      <c r="U15" s="2"/>
      <c r="V15" s="2"/>
      <c r="W15" s="4"/>
      <c r="X15" s="2"/>
      <c r="Y15" s="2"/>
      <c r="Z15" s="2"/>
      <c r="AA15" s="2"/>
    </row>
    <row r="16" spans="2:27" x14ac:dyDescent="0.25">
      <c r="B16" t="s">
        <v>24</v>
      </c>
      <c r="C16" s="2">
        <v>0</v>
      </c>
      <c r="F16" s="2">
        <f>F4+1</f>
        <v>2</v>
      </c>
      <c r="G16" s="2">
        <f>G4</f>
        <v>2</v>
      </c>
      <c r="H16" s="10">
        <f t="shared" si="0"/>
        <v>-1044.0299779600027</v>
      </c>
      <c r="I16" s="11">
        <f t="shared" si="8"/>
        <v>-451.70722479871881</v>
      </c>
      <c r="J16" s="10">
        <f t="shared" si="7"/>
        <v>-592.32275316128391</v>
      </c>
      <c r="K16" s="10">
        <f t="shared" si="4"/>
        <v>180090.56716632625</v>
      </c>
      <c r="L16" s="11">
        <f t="shared" si="1"/>
        <v>-453.73958333333337</v>
      </c>
      <c r="M16" s="11"/>
      <c r="N16" s="11"/>
      <c r="O16" s="12">
        <f t="shared" si="2"/>
        <v>-1497.7695612933362</v>
      </c>
      <c r="P16" s="10">
        <f t="shared" si="9"/>
        <v>-120919.52385810675</v>
      </c>
      <c r="Q16" s="13">
        <f t="shared" si="5"/>
        <v>255025</v>
      </c>
      <c r="R16" s="10">
        <f t="shared" si="3"/>
        <v>180090.56716632625</v>
      </c>
      <c r="S16" s="10">
        <f t="shared" si="6"/>
        <v>-45985.091024433001</v>
      </c>
      <c r="U16" s="2"/>
      <c r="V16" s="2"/>
      <c r="W16" s="4"/>
      <c r="X16" s="2"/>
      <c r="Y16" s="2"/>
      <c r="Z16" s="2"/>
      <c r="AA16" s="2"/>
    </row>
    <row r="17" spans="2:27" x14ac:dyDescent="0.25">
      <c r="B17" t="s">
        <v>25</v>
      </c>
      <c r="C17" s="7">
        <v>2.5000000000000001E-3</v>
      </c>
      <c r="F17" s="2">
        <f t="shared" ref="F17:F80" si="10">F5+1</f>
        <v>2</v>
      </c>
      <c r="G17" s="2">
        <f t="shared" ref="G17:G80" si="11">G5</f>
        <v>3</v>
      </c>
      <c r="H17" s="10">
        <f t="shared" si="0"/>
        <v>-1044.0299779600027</v>
      </c>
      <c r="I17" s="11">
        <f t="shared" si="8"/>
        <v>-450.2264179158156</v>
      </c>
      <c r="J17" s="10">
        <f t="shared" si="7"/>
        <v>-593.80356004418718</v>
      </c>
      <c r="K17" s="10">
        <f t="shared" si="4"/>
        <v>179496.76360628207</v>
      </c>
      <c r="L17" s="11">
        <f t="shared" si="1"/>
        <v>-453.73958333333337</v>
      </c>
      <c r="M17" s="11"/>
      <c r="N17" s="11"/>
      <c r="O17" s="12">
        <f t="shared" si="2"/>
        <v>-1497.7695612933362</v>
      </c>
      <c r="P17" s="10">
        <f t="shared" si="9"/>
        <v>-122417.29341940008</v>
      </c>
      <c r="Q17" s="13">
        <f t="shared" si="5"/>
        <v>255025</v>
      </c>
      <c r="R17" s="10">
        <f t="shared" si="3"/>
        <v>179496.76360628207</v>
      </c>
      <c r="S17" s="10">
        <f t="shared" si="6"/>
        <v>-46889.057025682152</v>
      </c>
      <c r="U17" s="2"/>
      <c r="V17" s="2"/>
      <c r="W17" s="4"/>
      <c r="X17" s="2"/>
      <c r="Y17" s="2"/>
      <c r="Z17" s="2"/>
      <c r="AA17" s="2"/>
    </row>
    <row r="18" spans="2:27" x14ac:dyDescent="0.25">
      <c r="B18" t="s">
        <v>26</v>
      </c>
      <c r="C18">
        <v>1200</v>
      </c>
      <c r="F18" s="2">
        <f t="shared" si="10"/>
        <v>2</v>
      </c>
      <c r="G18" s="2">
        <f t="shared" si="11"/>
        <v>4</v>
      </c>
      <c r="H18" s="10">
        <f t="shared" si="0"/>
        <v>-1044.0299779600027</v>
      </c>
      <c r="I18" s="11">
        <f t="shared" si="8"/>
        <v>-448.74190901570518</v>
      </c>
      <c r="J18" s="10">
        <f t="shared" si="7"/>
        <v>-595.28806894429749</v>
      </c>
      <c r="K18" s="10">
        <f t="shared" si="4"/>
        <v>178901.47553733777</v>
      </c>
      <c r="L18" s="11">
        <f t="shared" si="1"/>
        <v>-453.73958333333337</v>
      </c>
      <c r="M18" s="11"/>
      <c r="N18" s="11"/>
      <c r="O18" s="12">
        <f t="shared" si="2"/>
        <v>-1497.7695612933362</v>
      </c>
      <c r="P18" s="10">
        <f t="shared" si="9"/>
        <v>-123915.06298069342</v>
      </c>
      <c r="Q18" s="13">
        <f t="shared" si="5"/>
        <v>255025</v>
      </c>
      <c r="R18" s="10">
        <f t="shared" si="3"/>
        <v>178901.47553733777</v>
      </c>
      <c r="S18" s="10">
        <f t="shared" si="6"/>
        <v>-47791.538518031186</v>
      </c>
      <c r="U18" s="2"/>
      <c r="V18" s="2"/>
      <c r="W18" s="4"/>
      <c r="X18" s="2"/>
      <c r="Y18" s="2"/>
      <c r="Z18" s="2"/>
      <c r="AA18" s="2"/>
    </row>
    <row r="19" spans="2:27" x14ac:dyDescent="0.25">
      <c r="B19" t="s">
        <v>27</v>
      </c>
      <c r="C19" s="1">
        <v>0.02</v>
      </c>
      <c r="F19" s="2">
        <f t="shared" si="10"/>
        <v>2</v>
      </c>
      <c r="G19" s="2">
        <f t="shared" si="11"/>
        <v>5</v>
      </c>
      <c r="H19" s="10">
        <f t="shared" si="0"/>
        <v>-1044.0299779600027</v>
      </c>
      <c r="I19" s="11">
        <f t="shared" si="8"/>
        <v>-447.25368884334443</v>
      </c>
      <c r="J19" s="10">
        <f t="shared" si="7"/>
        <v>-596.77628911665829</v>
      </c>
      <c r="K19" s="10">
        <f t="shared" si="4"/>
        <v>178304.69924822112</v>
      </c>
      <c r="L19" s="11">
        <f t="shared" si="1"/>
        <v>-453.73958333333337</v>
      </c>
      <c r="M19" s="11"/>
      <c r="N19" s="11"/>
      <c r="O19" s="12">
        <f t="shared" si="2"/>
        <v>-1497.7695612933362</v>
      </c>
      <c r="P19" s="10">
        <f t="shared" si="9"/>
        <v>-125412.83254198675</v>
      </c>
      <c r="Q19" s="13">
        <f t="shared" si="5"/>
        <v>255025</v>
      </c>
      <c r="R19" s="10">
        <f t="shared" si="3"/>
        <v>178304.69924822112</v>
      </c>
      <c r="S19" s="10">
        <f>Q19-R19+P19</f>
        <v>-48692.531790207868</v>
      </c>
      <c r="U19" s="2"/>
      <c r="V19" s="2"/>
      <c r="W19" s="4"/>
      <c r="X19" s="2"/>
      <c r="Y19" s="2"/>
      <c r="Z19" s="2"/>
      <c r="AA19" s="2"/>
    </row>
    <row r="20" spans="2:27" x14ac:dyDescent="0.25">
      <c r="B20" t="s">
        <v>28</v>
      </c>
      <c r="C20" s="1">
        <v>0.01</v>
      </c>
      <c r="F20" s="2">
        <f t="shared" si="10"/>
        <v>2</v>
      </c>
      <c r="G20" s="2">
        <f t="shared" si="11"/>
        <v>6</v>
      </c>
      <c r="H20" s="10">
        <f t="shared" si="0"/>
        <v>-1044.0299779600027</v>
      </c>
      <c r="I20" s="11">
        <f t="shared" si="8"/>
        <v>-445.7617481205528</v>
      </c>
      <c r="J20" s="10">
        <f t="shared" si="7"/>
        <v>-598.26822983944999</v>
      </c>
      <c r="K20" s="10">
        <f t="shared" si="4"/>
        <v>177706.43101838167</v>
      </c>
      <c r="L20" s="11">
        <f t="shared" si="1"/>
        <v>-453.73958333333337</v>
      </c>
      <c r="M20" s="11"/>
      <c r="N20" s="11"/>
      <c r="O20" s="12">
        <f t="shared" si="2"/>
        <v>-1497.7695612933362</v>
      </c>
      <c r="P20" s="10">
        <f t="shared" si="9"/>
        <v>-126910.60210328008</v>
      </c>
      <c r="Q20" s="13">
        <f t="shared" si="5"/>
        <v>255025</v>
      </c>
      <c r="R20" s="10">
        <f t="shared" si="3"/>
        <v>177706.43101838167</v>
      </c>
      <c r="S20" s="10">
        <f t="shared" ref="S20:S62" si="12">Q20-R20+P20</f>
        <v>-49592.033121661749</v>
      </c>
    </row>
    <row r="21" spans="2:27" x14ac:dyDescent="0.25">
      <c r="B21" t="s">
        <v>29</v>
      </c>
      <c r="C21" s="1">
        <v>0.01</v>
      </c>
      <c r="D21" s="9">
        <f>(1+C21)^(1/12)-1</f>
        <v>8.295381143461622E-4</v>
      </c>
      <c r="F21" s="2">
        <f t="shared" si="10"/>
        <v>2</v>
      </c>
      <c r="G21" s="2">
        <f t="shared" si="11"/>
        <v>7</v>
      </c>
      <c r="H21" s="10">
        <f t="shared" si="0"/>
        <v>-1044.0299779600027</v>
      </c>
      <c r="I21" s="11">
        <f t="shared" si="8"/>
        <v>-444.2660775459542</v>
      </c>
      <c r="J21" s="10">
        <f t="shared" si="7"/>
        <v>-599.76390041404852</v>
      </c>
      <c r="K21" s="10">
        <f t="shared" si="4"/>
        <v>177106.66711796762</v>
      </c>
      <c r="L21" s="11">
        <f t="shared" si="1"/>
        <v>-453.73958333333337</v>
      </c>
      <c r="M21" s="11"/>
      <c r="N21" s="11"/>
      <c r="O21" s="12">
        <f t="shared" si="2"/>
        <v>-1497.7695612933362</v>
      </c>
      <c r="P21" s="10">
        <f t="shared" si="9"/>
        <v>-128408.37166457341</v>
      </c>
      <c r="Q21" s="13">
        <f t="shared" si="5"/>
        <v>255025</v>
      </c>
      <c r="R21" s="10">
        <f t="shared" si="3"/>
        <v>177106.66711796762</v>
      </c>
      <c r="S21" s="10">
        <f t="shared" si="12"/>
        <v>-50490.038782541029</v>
      </c>
    </row>
    <row r="22" spans="2:27" x14ac:dyDescent="0.25">
      <c r="B22" t="s">
        <v>30</v>
      </c>
      <c r="C22" s="1">
        <v>0.05</v>
      </c>
      <c r="F22" s="2">
        <f t="shared" si="10"/>
        <v>2</v>
      </c>
      <c r="G22" s="2">
        <f t="shared" si="11"/>
        <v>8</v>
      </c>
      <c r="H22" s="10">
        <f t="shared" si="0"/>
        <v>-1044.0299779600027</v>
      </c>
      <c r="I22" s="11">
        <f t="shared" si="8"/>
        <v>-442.76666779491904</v>
      </c>
      <c r="J22" s="10">
        <f t="shared" si="7"/>
        <v>-601.26331016508368</v>
      </c>
      <c r="K22" s="10">
        <f t="shared" si="4"/>
        <v>176505.40380780253</v>
      </c>
      <c r="L22" s="11">
        <f t="shared" si="1"/>
        <v>-453.73958333333337</v>
      </c>
      <c r="M22" s="11"/>
      <c r="N22" s="11"/>
      <c r="O22" s="12">
        <f t="shared" si="2"/>
        <v>-1497.7695612933362</v>
      </c>
      <c r="P22" s="10">
        <f t="shared" si="9"/>
        <v>-129906.14122586674</v>
      </c>
      <c r="Q22" s="13">
        <f t="shared" si="5"/>
        <v>255025</v>
      </c>
      <c r="R22" s="10">
        <f t="shared" si="3"/>
        <v>176505.40380780253</v>
      </c>
      <c r="S22" s="10">
        <f t="shared" si="12"/>
        <v>-51386.545033669274</v>
      </c>
    </row>
    <row r="23" spans="2:27" x14ac:dyDescent="0.25">
      <c r="F23" s="2">
        <f t="shared" si="10"/>
        <v>2</v>
      </c>
      <c r="G23" s="2">
        <f t="shared" si="11"/>
        <v>9</v>
      </c>
      <c r="H23" s="10">
        <f t="shared" si="0"/>
        <v>-1044.0299779600027</v>
      </c>
      <c r="I23" s="11">
        <f t="shared" si="8"/>
        <v>-441.26350951950633</v>
      </c>
      <c r="J23" s="10">
        <f t="shared" si="7"/>
        <v>-602.7664684404964</v>
      </c>
      <c r="K23" s="10">
        <f t="shared" si="4"/>
        <v>175902.63733936203</v>
      </c>
      <c r="L23" s="11">
        <f t="shared" si="1"/>
        <v>-453.73958333333337</v>
      </c>
      <c r="M23" s="11"/>
      <c r="N23" s="11"/>
      <c r="O23" s="12">
        <f t="shared" si="2"/>
        <v>-1497.7695612933362</v>
      </c>
      <c r="P23" s="10">
        <f t="shared" si="9"/>
        <v>-131403.91078716007</v>
      </c>
      <c r="Q23" s="13">
        <f t="shared" si="5"/>
        <v>255025</v>
      </c>
      <c r="R23" s="10">
        <f t="shared" si="3"/>
        <v>175902.63733936203</v>
      </c>
      <c r="S23" s="10">
        <f t="shared" si="12"/>
        <v>-52281.548126522102</v>
      </c>
      <c r="U23" s="2"/>
      <c r="V23" s="2"/>
      <c r="W23" s="4"/>
      <c r="X23" s="2"/>
      <c r="Y23" s="2"/>
      <c r="Z23" s="2"/>
      <c r="AA23" s="2"/>
    </row>
    <row r="24" spans="2:27" x14ac:dyDescent="0.25">
      <c r="F24" s="2">
        <f t="shared" si="10"/>
        <v>2</v>
      </c>
      <c r="G24" s="2">
        <f t="shared" si="11"/>
        <v>10</v>
      </c>
      <c r="H24" s="10">
        <f t="shared" si="0"/>
        <v>-1044.0299779600027</v>
      </c>
      <c r="I24" s="11">
        <f t="shared" si="8"/>
        <v>-439.75659334840509</v>
      </c>
      <c r="J24" s="10">
        <f t="shared" si="7"/>
        <v>-604.27338461159763</v>
      </c>
      <c r="K24" s="10">
        <f t="shared" si="4"/>
        <v>175298.36395475044</v>
      </c>
      <c r="L24" s="11">
        <f t="shared" si="1"/>
        <v>-453.73958333333337</v>
      </c>
      <c r="M24" s="11"/>
      <c r="N24" s="11"/>
      <c r="O24" s="12">
        <f t="shared" si="2"/>
        <v>-1497.7695612933362</v>
      </c>
      <c r="P24" s="10">
        <f t="shared" si="9"/>
        <v>-132901.6803484534</v>
      </c>
      <c r="Q24" s="13">
        <f t="shared" si="5"/>
        <v>255025</v>
      </c>
      <c r="R24" s="10">
        <f t="shared" si="3"/>
        <v>175298.36395475044</v>
      </c>
      <c r="S24" s="10">
        <f t="shared" si="12"/>
        <v>-53175.044303203846</v>
      </c>
      <c r="U24" s="2"/>
      <c r="V24" s="2"/>
      <c r="W24" s="12"/>
      <c r="X24" s="10"/>
      <c r="Y24" s="2"/>
      <c r="Z24" s="2"/>
      <c r="AA24" s="10"/>
    </row>
    <row r="25" spans="2:27" x14ac:dyDescent="0.25">
      <c r="B25" t="s">
        <v>35</v>
      </c>
      <c r="C25">
        <v>5</v>
      </c>
      <c r="F25" s="2">
        <f t="shared" si="10"/>
        <v>2</v>
      </c>
      <c r="G25" s="2">
        <f t="shared" si="11"/>
        <v>11</v>
      </c>
      <c r="H25" s="10">
        <f t="shared" si="0"/>
        <v>-1044.0299779600027</v>
      </c>
      <c r="I25" s="11">
        <f t="shared" si="8"/>
        <v>-438.24590988687612</v>
      </c>
      <c r="J25" s="10">
        <f t="shared" si="7"/>
        <v>-605.7840680731266</v>
      </c>
      <c r="K25" s="10">
        <f t="shared" si="4"/>
        <v>174692.57988667733</v>
      </c>
      <c r="L25" s="11">
        <f t="shared" si="1"/>
        <v>-453.73958333333337</v>
      </c>
      <c r="M25" s="11"/>
      <c r="N25" s="11"/>
      <c r="O25" s="12">
        <f t="shared" si="2"/>
        <v>-1497.7695612933362</v>
      </c>
      <c r="P25" s="10">
        <f t="shared" si="9"/>
        <v>-134399.44990974673</v>
      </c>
      <c r="Q25" s="13">
        <f t="shared" si="5"/>
        <v>255025</v>
      </c>
      <c r="R25" s="10">
        <f t="shared" si="3"/>
        <v>174692.57988667733</v>
      </c>
      <c r="S25" s="10">
        <f t="shared" si="12"/>
        <v>-54067.02979642406</v>
      </c>
      <c r="W25" s="4"/>
      <c r="X25" s="2"/>
    </row>
    <row r="26" spans="2:27" x14ac:dyDescent="0.25">
      <c r="B26" t="s">
        <v>36</v>
      </c>
      <c r="C26">
        <v>6</v>
      </c>
      <c r="F26" s="2">
        <f t="shared" si="10"/>
        <v>2</v>
      </c>
      <c r="G26" s="2">
        <f t="shared" si="11"/>
        <v>12</v>
      </c>
      <c r="H26" s="10">
        <f t="shared" si="0"/>
        <v>-1044.0299779600027</v>
      </c>
      <c r="I26" s="11">
        <f t="shared" si="8"/>
        <v>-436.73144971669331</v>
      </c>
      <c r="J26" s="10">
        <f t="shared" si="7"/>
        <v>-607.29852824330942</v>
      </c>
      <c r="K26" s="10">
        <f t="shared" si="4"/>
        <v>174085.281358434</v>
      </c>
      <c r="L26" s="11">
        <f t="shared" si="1"/>
        <v>-453.73958333333337</v>
      </c>
      <c r="M26" s="11"/>
      <c r="N26" s="11"/>
      <c r="O26" s="12">
        <f t="shared" si="2"/>
        <v>-1497.7695612933362</v>
      </c>
      <c r="P26" s="10">
        <f t="shared" si="9"/>
        <v>-135897.21947104007</v>
      </c>
      <c r="Q26" s="13">
        <f t="shared" si="5"/>
        <v>255025</v>
      </c>
      <c r="R26" s="10">
        <f t="shared" si="3"/>
        <v>174085.281358434</v>
      </c>
      <c r="S26" s="10">
        <f t="shared" si="12"/>
        <v>-54957.500829474069</v>
      </c>
    </row>
    <row r="27" spans="2:27" x14ac:dyDescent="0.25">
      <c r="F27" s="2">
        <f t="shared" si="10"/>
        <v>3</v>
      </c>
      <c r="G27" s="2">
        <f t="shared" si="11"/>
        <v>1</v>
      </c>
      <c r="H27" s="10">
        <f t="shared" si="0"/>
        <v>-1044.0299779600027</v>
      </c>
      <c r="I27" s="11">
        <f t="shared" si="8"/>
        <v>-435.21320339608502</v>
      </c>
      <c r="J27" s="10">
        <f t="shared" si="7"/>
        <v>-608.81677456391776</v>
      </c>
      <c r="K27" s="10">
        <f t="shared" si="4"/>
        <v>173476.46458387008</v>
      </c>
      <c r="L27" s="11">
        <f t="shared" si="1"/>
        <v>-457.9047916666666</v>
      </c>
      <c r="M27" s="11"/>
      <c r="N27" s="11"/>
      <c r="O27" s="12">
        <f t="shared" si="2"/>
        <v>-1501.9347696266693</v>
      </c>
      <c r="P27" s="10">
        <f t="shared" si="9"/>
        <v>-137399.15424066674</v>
      </c>
      <c r="Q27" s="13">
        <f t="shared" si="5"/>
        <v>257575.24999999997</v>
      </c>
      <c r="R27" s="10">
        <f t="shared" si="3"/>
        <v>173476.46458387008</v>
      </c>
      <c r="S27" s="10">
        <f t="shared" si="12"/>
        <v>-53300.368824536854</v>
      </c>
    </row>
    <row r="28" spans="2:27" x14ac:dyDescent="0.25">
      <c r="F28" s="2">
        <f t="shared" si="10"/>
        <v>3</v>
      </c>
      <c r="G28" s="2">
        <f t="shared" si="11"/>
        <v>2</v>
      </c>
      <c r="H28" s="10">
        <f t="shared" si="0"/>
        <v>-1044.0299779600027</v>
      </c>
      <c r="I28" s="11">
        <f t="shared" si="8"/>
        <v>-433.69116145967519</v>
      </c>
      <c r="J28" s="10">
        <f t="shared" si="7"/>
        <v>-610.33881650032754</v>
      </c>
      <c r="K28" s="10">
        <f t="shared" si="4"/>
        <v>172866.12576736975</v>
      </c>
      <c r="L28" s="11">
        <f t="shared" si="1"/>
        <v>-457.9047916666666</v>
      </c>
      <c r="M28" s="11"/>
      <c r="N28" s="11"/>
      <c r="O28" s="12">
        <f t="shared" si="2"/>
        <v>-1501.9347696266693</v>
      </c>
      <c r="P28" s="10">
        <f t="shared" si="9"/>
        <v>-138901.08901029342</v>
      </c>
      <c r="Q28" s="13">
        <f t="shared" si="5"/>
        <v>257575.24999999997</v>
      </c>
      <c r="R28" s="10">
        <f t="shared" si="3"/>
        <v>172866.12576736975</v>
      </c>
      <c r="S28" s="10">
        <f t="shared" si="12"/>
        <v>-54191.964777663205</v>
      </c>
    </row>
    <row r="29" spans="2:27" x14ac:dyDescent="0.25">
      <c r="B29" t="s">
        <v>37</v>
      </c>
      <c r="C29" s="3">
        <f>-6*$D$12*K122</f>
        <v>-1621.8236218367447</v>
      </c>
      <c r="F29" s="2">
        <f t="shared" si="10"/>
        <v>3</v>
      </c>
      <c r="G29" s="2">
        <f t="shared" si="11"/>
        <v>3</v>
      </c>
      <c r="H29" s="10">
        <f t="shared" si="0"/>
        <v>-1044.0299779600027</v>
      </c>
      <c r="I29" s="11">
        <f t="shared" si="8"/>
        <v>-432.16531441842437</v>
      </c>
      <c r="J29" s="10">
        <f t="shared" si="7"/>
        <v>-611.86466354157835</v>
      </c>
      <c r="K29" s="10">
        <f t="shared" si="4"/>
        <v>172254.26110382818</v>
      </c>
      <c r="L29" s="11">
        <f t="shared" si="1"/>
        <v>-457.9047916666666</v>
      </c>
      <c r="M29" s="11"/>
      <c r="N29" s="11"/>
      <c r="O29" s="12">
        <f t="shared" si="2"/>
        <v>-1501.9347696266693</v>
      </c>
      <c r="P29" s="10">
        <f t="shared" si="9"/>
        <v>-140403.0237799201</v>
      </c>
      <c r="Q29" s="13">
        <f t="shared" si="5"/>
        <v>257575.24999999997</v>
      </c>
      <c r="R29" s="10">
        <f t="shared" si="3"/>
        <v>172254.26110382818</v>
      </c>
      <c r="S29" s="10">
        <f t="shared" si="12"/>
        <v>-55082.034883748303</v>
      </c>
    </row>
    <row r="30" spans="2:27" x14ac:dyDescent="0.25">
      <c r="B30" t="s">
        <v>34</v>
      </c>
      <c r="C30" s="20">
        <f>Q122-$C$22*Q122-K122+C29</f>
        <v>152604.35637420803</v>
      </c>
      <c r="F30" s="2">
        <f t="shared" si="10"/>
        <v>3</v>
      </c>
      <c r="G30" s="2">
        <f t="shared" si="11"/>
        <v>4</v>
      </c>
      <c r="H30" s="10">
        <f t="shared" si="0"/>
        <v>-1044.0299779600027</v>
      </c>
      <c r="I30" s="11">
        <f t="shared" si="8"/>
        <v>-430.63565275957046</v>
      </c>
      <c r="J30" s="10">
        <f t="shared" si="7"/>
        <v>-613.39432520043226</v>
      </c>
      <c r="K30" s="10">
        <f t="shared" si="4"/>
        <v>171640.86677862774</v>
      </c>
      <c r="L30" s="11">
        <f t="shared" si="1"/>
        <v>-457.9047916666666</v>
      </c>
      <c r="M30" s="11"/>
      <c r="N30" s="11"/>
      <c r="O30" s="12">
        <f t="shared" si="2"/>
        <v>-1501.9347696266693</v>
      </c>
      <c r="P30" s="10">
        <f t="shared" si="9"/>
        <v>-141904.95854954678</v>
      </c>
      <c r="Q30" s="13">
        <f t="shared" si="5"/>
        <v>257575.24999999997</v>
      </c>
      <c r="R30" s="10">
        <f t="shared" si="3"/>
        <v>171640.86677862774</v>
      </c>
      <c r="S30" s="10">
        <f t="shared" si="12"/>
        <v>-55970.575328174542</v>
      </c>
    </row>
    <row r="31" spans="2:27" x14ac:dyDescent="0.25">
      <c r="F31" s="2">
        <f t="shared" si="10"/>
        <v>3</v>
      </c>
      <c r="G31" s="2">
        <f t="shared" si="11"/>
        <v>5</v>
      </c>
      <c r="H31" s="10">
        <f t="shared" si="0"/>
        <v>-1044.0299779600027</v>
      </c>
      <c r="I31" s="11">
        <f t="shared" si="8"/>
        <v>-429.10216694656935</v>
      </c>
      <c r="J31" s="10">
        <f t="shared" si="7"/>
        <v>-614.92781101343337</v>
      </c>
      <c r="K31" s="10">
        <f t="shared" si="4"/>
        <v>171025.93896761429</v>
      </c>
      <c r="L31" s="11">
        <f t="shared" si="1"/>
        <v>-457.9047916666666</v>
      </c>
      <c r="M31" s="11"/>
      <c r="N31" s="11"/>
      <c r="O31" s="12">
        <f t="shared" si="2"/>
        <v>-1501.9347696266693</v>
      </c>
      <c r="P31" s="10">
        <f t="shared" si="9"/>
        <v>-143406.89331917345</v>
      </c>
      <c r="Q31" s="13">
        <f t="shared" si="5"/>
        <v>257575.24999999997</v>
      </c>
      <c r="R31" s="10">
        <f t="shared" si="3"/>
        <v>171025.93896761429</v>
      </c>
      <c r="S31" s="10">
        <f t="shared" si="12"/>
        <v>-56857.582286787772</v>
      </c>
    </row>
    <row r="32" spans="2:27" x14ac:dyDescent="0.25">
      <c r="B32" t="s">
        <v>51</v>
      </c>
      <c r="C32" s="1">
        <v>0.92</v>
      </c>
      <c r="D32" s="19"/>
      <c r="F32" s="2">
        <f t="shared" si="10"/>
        <v>3</v>
      </c>
      <c r="G32" s="2">
        <f t="shared" si="11"/>
        <v>6</v>
      </c>
      <c r="H32" s="10">
        <f t="shared" si="0"/>
        <v>-1044.0299779600027</v>
      </c>
      <c r="I32" s="11">
        <f t="shared" si="8"/>
        <v>-427.56484741903574</v>
      </c>
      <c r="J32" s="10">
        <f t="shared" si="7"/>
        <v>-616.46513054096704</v>
      </c>
      <c r="K32" s="10">
        <f t="shared" si="4"/>
        <v>170409.47383707331</v>
      </c>
      <c r="L32" s="11">
        <f t="shared" si="1"/>
        <v>-457.9047916666666</v>
      </c>
      <c r="M32" s="11"/>
      <c r="N32" s="11"/>
      <c r="O32" s="12">
        <f t="shared" si="2"/>
        <v>-1501.9347696266693</v>
      </c>
      <c r="P32" s="10">
        <f t="shared" si="9"/>
        <v>-144908.82808880013</v>
      </c>
      <c r="Q32" s="13">
        <f t="shared" si="5"/>
        <v>257575.24999999997</v>
      </c>
      <c r="R32" s="10">
        <f t="shared" si="3"/>
        <v>170409.47383707331</v>
      </c>
      <c r="S32" s="10">
        <f t="shared" si="12"/>
        <v>-57743.051925873471</v>
      </c>
    </row>
    <row r="33" spans="2:19" x14ac:dyDescent="0.25">
      <c r="B33" t="s">
        <v>52</v>
      </c>
      <c r="C33" s="1">
        <v>0</v>
      </c>
      <c r="F33" s="2">
        <f t="shared" si="10"/>
        <v>3</v>
      </c>
      <c r="G33" s="2">
        <f t="shared" si="11"/>
        <v>7</v>
      </c>
      <c r="H33" s="10">
        <f t="shared" si="0"/>
        <v>-1044.0299779600027</v>
      </c>
      <c r="I33" s="11">
        <f t="shared" si="8"/>
        <v>-426.02368459268331</v>
      </c>
      <c r="J33" s="10">
        <f t="shared" si="7"/>
        <v>-618.00629336731936</v>
      </c>
      <c r="K33" s="10">
        <f t="shared" si="4"/>
        <v>169791.46754370598</v>
      </c>
      <c r="L33" s="11">
        <f t="shared" si="1"/>
        <v>-457.9047916666666</v>
      </c>
      <c r="M33" s="11"/>
      <c r="N33" s="11"/>
      <c r="O33" s="12">
        <f t="shared" si="2"/>
        <v>-1501.9347696266693</v>
      </c>
      <c r="P33" s="10">
        <f t="shared" si="9"/>
        <v>-146410.76285842681</v>
      </c>
      <c r="Q33" s="13">
        <f t="shared" si="5"/>
        <v>257575.24999999997</v>
      </c>
      <c r="R33" s="10">
        <f t="shared" si="3"/>
        <v>169791.46754370598</v>
      </c>
      <c r="S33" s="10">
        <f t="shared" si="12"/>
        <v>-58626.980402132816</v>
      </c>
    </row>
    <row r="34" spans="2:19" x14ac:dyDescent="0.25">
      <c r="B34" t="s">
        <v>53</v>
      </c>
      <c r="C34" s="1">
        <v>0.06</v>
      </c>
      <c r="F34" s="2">
        <f t="shared" si="10"/>
        <v>3</v>
      </c>
      <c r="G34" s="2">
        <f t="shared" si="11"/>
        <v>8</v>
      </c>
      <c r="H34" s="10">
        <f t="shared" si="0"/>
        <v>-1044.0299779600027</v>
      </c>
      <c r="I34" s="11">
        <f t="shared" si="8"/>
        <v>-424.47866885926493</v>
      </c>
      <c r="J34" s="10">
        <f t="shared" si="7"/>
        <v>-619.55130910073785</v>
      </c>
      <c r="K34" s="10">
        <f t="shared" si="4"/>
        <v>169171.91623460525</v>
      </c>
      <c r="L34" s="11">
        <f t="shared" si="1"/>
        <v>-457.9047916666666</v>
      </c>
      <c r="M34" s="11"/>
      <c r="N34" s="11"/>
      <c r="O34" s="12">
        <f t="shared" si="2"/>
        <v>-1501.9347696266693</v>
      </c>
      <c r="P34" s="10">
        <f t="shared" si="9"/>
        <v>-147912.69762805349</v>
      </c>
      <c r="Q34" s="13">
        <f t="shared" si="5"/>
        <v>257575.24999999997</v>
      </c>
      <c r="R34" s="10">
        <f t="shared" si="3"/>
        <v>169171.91623460525</v>
      </c>
      <c r="S34" s="10">
        <f t="shared" si="12"/>
        <v>-59509.363862658764</v>
      </c>
    </row>
    <row r="35" spans="2:19" x14ac:dyDescent="0.25">
      <c r="B35" t="s">
        <v>45</v>
      </c>
      <c r="C35">
        <v>850</v>
      </c>
      <c r="F35" s="2">
        <f t="shared" si="10"/>
        <v>3</v>
      </c>
      <c r="G35" s="2">
        <f t="shared" si="11"/>
        <v>9</v>
      </c>
      <c r="H35" s="10">
        <f t="shared" si="0"/>
        <v>-1044.0299779600027</v>
      </c>
      <c r="I35" s="11">
        <f t="shared" si="8"/>
        <v>-422.92979058651315</v>
      </c>
      <c r="J35" s="10">
        <f t="shared" si="7"/>
        <v>-621.10018737348958</v>
      </c>
      <c r="K35" s="10">
        <f t="shared" si="4"/>
        <v>168550.81604723175</v>
      </c>
      <c r="L35" s="11">
        <f t="shared" ref="L35:L62" si="13">-($C$15/12+$C$17*$C$11/12+$C$18/12*(1+$C$19)^($F35-1)+$C$20*Q35/12)</f>
        <v>-457.9047916666666</v>
      </c>
      <c r="M35" s="11"/>
      <c r="N35" s="11"/>
      <c r="O35" s="12">
        <f t="shared" ref="O35:O62" si="14">L35+H35</f>
        <v>-1501.9347696266693</v>
      </c>
      <c r="P35" s="10">
        <f t="shared" si="9"/>
        <v>-149414.63239768017</v>
      </c>
      <c r="Q35" s="13">
        <f t="shared" si="5"/>
        <v>257575.24999999997</v>
      </c>
      <c r="R35" s="10">
        <f t="shared" ref="R35:R62" si="15">K35</f>
        <v>168550.81604723175</v>
      </c>
      <c r="S35" s="10">
        <f t="shared" si="12"/>
        <v>-60390.198444911948</v>
      </c>
    </row>
    <row r="36" spans="2:19" x14ac:dyDescent="0.25">
      <c r="B36" t="s">
        <v>46</v>
      </c>
      <c r="C36" s="1">
        <v>0.02</v>
      </c>
      <c r="F36" s="2">
        <f t="shared" si="10"/>
        <v>3</v>
      </c>
      <c r="G36" s="2">
        <f t="shared" si="11"/>
        <v>10</v>
      </c>
      <c r="H36" s="10">
        <f t="shared" si="0"/>
        <v>-1044.0299779600027</v>
      </c>
      <c r="I36" s="11">
        <f t="shared" si="8"/>
        <v>-421.37704011807938</v>
      </c>
      <c r="J36" s="10">
        <f t="shared" si="7"/>
        <v>-622.6529378419234</v>
      </c>
      <c r="K36" s="10">
        <f t="shared" si="4"/>
        <v>167928.16310938983</v>
      </c>
      <c r="L36" s="11">
        <f t="shared" si="13"/>
        <v>-457.9047916666666</v>
      </c>
      <c r="M36" s="11"/>
      <c r="N36" s="11"/>
      <c r="O36" s="12">
        <f t="shared" si="14"/>
        <v>-1501.9347696266693</v>
      </c>
      <c r="P36" s="10">
        <f t="shared" si="9"/>
        <v>-150916.56716730684</v>
      </c>
      <c r="Q36" s="13">
        <f t="shared" si="5"/>
        <v>257575.24999999997</v>
      </c>
      <c r="R36" s="10">
        <f t="shared" si="15"/>
        <v>167928.16310938983</v>
      </c>
      <c r="S36" s="10">
        <f t="shared" si="12"/>
        <v>-61269.480276696704</v>
      </c>
    </row>
    <row r="37" spans="2:19" x14ac:dyDescent="0.25">
      <c r="C37" s="3"/>
      <c r="F37" s="2">
        <f t="shared" si="10"/>
        <v>3</v>
      </c>
      <c r="G37" s="2">
        <f t="shared" si="11"/>
        <v>11</v>
      </c>
      <c r="H37" s="10">
        <f t="shared" si="0"/>
        <v>-1044.0299779600027</v>
      </c>
      <c r="I37" s="11">
        <f t="shared" si="8"/>
        <v>-419.82040777347459</v>
      </c>
      <c r="J37" s="10">
        <f t="shared" si="7"/>
        <v>-624.20957018652814</v>
      </c>
      <c r="K37" s="10">
        <f t="shared" si="4"/>
        <v>167303.9535392033</v>
      </c>
      <c r="L37" s="11">
        <f t="shared" si="13"/>
        <v>-457.9047916666666</v>
      </c>
      <c r="M37" s="11"/>
      <c r="N37" s="11"/>
      <c r="O37" s="12">
        <f t="shared" si="14"/>
        <v>-1501.9347696266693</v>
      </c>
      <c r="P37" s="10">
        <f t="shared" si="9"/>
        <v>-152418.50193693352</v>
      </c>
      <c r="Q37" s="13">
        <f t="shared" si="5"/>
        <v>257575.24999999997</v>
      </c>
      <c r="R37" s="10">
        <f t="shared" si="15"/>
        <v>167303.9535392033</v>
      </c>
      <c r="S37" s="10">
        <f t="shared" si="12"/>
        <v>-62147.205476136849</v>
      </c>
    </row>
    <row r="38" spans="2:19" x14ac:dyDescent="0.25">
      <c r="C38" s="3"/>
      <c r="F38" s="2">
        <f t="shared" si="10"/>
        <v>3</v>
      </c>
      <c r="G38" s="2">
        <f t="shared" si="11"/>
        <v>12</v>
      </c>
      <c r="H38" s="10">
        <f t="shared" si="0"/>
        <v>-1044.0299779600027</v>
      </c>
      <c r="I38" s="11">
        <f t="shared" si="8"/>
        <v>-418.25988384800826</v>
      </c>
      <c r="J38" s="10">
        <f t="shared" si="7"/>
        <v>-625.77009411199447</v>
      </c>
      <c r="K38" s="10">
        <f t="shared" si="4"/>
        <v>166678.1834450913</v>
      </c>
      <c r="L38" s="11">
        <f t="shared" si="13"/>
        <v>-457.9047916666666</v>
      </c>
      <c r="M38" s="11"/>
      <c r="N38" s="11"/>
      <c r="O38" s="12">
        <f t="shared" si="14"/>
        <v>-1501.9347696266693</v>
      </c>
      <c r="P38" s="10">
        <f t="shared" si="9"/>
        <v>-153920.4367065602</v>
      </c>
      <c r="Q38" s="13">
        <f t="shared" si="5"/>
        <v>257575.24999999997</v>
      </c>
      <c r="R38" s="10">
        <f t="shared" si="15"/>
        <v>166678.1834450913</v>
      </c>
      <c r="S38" s="10">
        <f t="shared" si="12"/>
        <v>-63023.370151651528</v>
      </c>
    </row>
    <row r="39" spans="2:19" x14ac:dyDescent="0.25">
      <c r="C39" s="3"/>
      <c r="F39" s="2">
        <f t="shared" si="10"/>
        <v>4</v>
      </c>
      <c r="G39" s="2">
        <f t="shared" si="11"/>
        <v>1</v>
      </c>
      <c r="H39" s="10">
        <f t="shared" si="0"/>
        <v>-1044.0299779600027</v>
      </c>
      <c r="I39" s="11">
        <f t="shared" si="8"/>
        <v>-416.69545861272826</v>
      </c>
      <c r="J39" s="10">
        <f t="shared" si="7"/>
        <v>-627.33451934727441</v>
      </c>
      <c r="K39" s="10">
        <f t="shared" si="4"/>
        <v>166050.84892574404</v>
      </c>
      <c r="L39" s="11">
        <f t="shared" si="13"/>
        <v>-462.13205208333329</v>
      </c>
      <c r="M39" s="11"/>
      <c r="N39" s="11"/>
      <c r="O39" s="12">
        <f t="shared" si="14"/>
        <v>-1506.162030043336</v>
      </c>
      <c r="P39" s="10">
        <f t="shared" si="9"/>
        <v>-155426.59873660354</v>
      </c>
      <c r="Q39" s="13">
        <f t="shared" si="5"/>
        <v>260151.0025</v>
      </c>
      <c r="R39" s="10">
        <f t="shared" si="15"/>
        <v>166050.84892574404</v>
      </c>
      <c r="S39" s="10">
        <f t="shared" si="12"/>
        <v>-61326.445162347576</v>
      </c>
    </row>
    <row r="40" spans="2:19" x14ac:dyDescent="0.25">
      <c r="C40" s="3"/>
      <c r="F40" s="2">
        <f t="shared" si="10"/>
        <v>4</v>
      </c>
      <c r="G40" s="2">
        <f t="shared" si="11"/>
        <v>2</v>
      </c>
      <c r="H40" s="10">
        <f t="shared" si="0"/>
        <v>-1044.0299779600027</v>
      </c>
      <c r="I40" s="11">
        <f t="shared" si="8"/>
        <v>-415.12712231436012</v>
      </c>
      <c r="J40" s="10">
        <f t="shared" si="7"/>
        <v>-628.9028556456426</v>
      </c>
      <c r="K40" s="10">
        <f t="shared" si="4"/>
        <v>165421.94607009841</v>
      </c>
      <c r="L40" s="11">
        <f t="shared" si="13"/>
        <v>-462.13205208333329</v>
      </c>
      <c r="M40" s="11"/>
      <c r="N40" s="11"/>
      <c r="O40" s="12">
        <f t="shared" si="14"/>
        <v>-1506.162030043336</v>
      </c>
      <c r="P40" s="10">
        <f t="shared" si="9"/>
        <v>-156932.76076664688</v>
      </c>
      <c r="Q40" s="13">
        <f t="shared" si="5"/>
        <v>260151.0025</v>
      </c>
      <c r="R40" s="10">
        <f t="shared" si="15"/>
        <v>165421.94607009841</v>
      </c>
      <c r="S40" s="10">
        <f t="shared" si="12"/>
        <v>-62203.704336745286</v>
      </c>
    </row>
    <row r="41" spans="2:19" x14ac:dyDescent="0.25">
      <c r="C41" s="3"/>
      <c r="F41" s="2">
        <f t="shared" si="10"/>
        <v>4</v>
      </c>
      <c r="G41" s="2">
        <f t="shared" si="11"/>
        <v>3</v>
      </c>
      <c r="H41" s="10">
        <f t="shared" si="0"/>
        <v>-1044.0299779600027</v>
      </c>
      <c r="I41" s="11">
        <f t="shared" si="8"/>
        <v>-413.55486517524605</v>
      </c>
      <c r="J41" s="10">
        <f t="shared" si="7"/>
        <v>-630.47511278475667</v>
      </c>
      <c r="K41" s="10">
        <f t="shared" si="4"/>
        <v>164791.47095731364</v>
      </c>
      <c r="L41" s="11">
        <f t="shared" si="13"/>
        <v>-462.13205208333329</v>
      </c>
      <c r="M41" s="11"/>
      <c r="N41" s="11"/>
      <c r="O41" s="12">
        <f t="shared" si="14"/>
        <v>-1506.162030043336</v>
      </c>
      <c r="P41" s="10">
        <f t="shared" si="9"/>
        <v>-158438.92279669023</v>
      </c>
      <c r="Q41" s="13">
        <f t="shared" si="5"/>
        <v>260151.0025</v>
      </c>
      <c r="R41" s="10">
        <f t="shared" si="15"/>
        <v>164791.47095731364</v>
      </c>
      <c r="S41" s="10">
        <f t="shared" si="12"/>
        <v>-63079.391254003858</v>
      </c>
    </row>
    <row r="42" spans="2:19" x14ac:dyDescent="0.25">
      <c r="C42" s="3"/>
      <c r="F42" s="2">
        <f t="shared" si="10"/>
        <v>4</v>
      </c>
      <c r="G42" s="2">
        <f t="shared" si="11"/>
        <v>4</v>
      </c>
      <c r="H42" s="10">
        <f t="shared" si="0"/>
        <v>-1044.0299779600027</v>
      </c>
      <c r="I42" s="11">
        <f t="shared" si="8"/>
        <v>-411.9786773932841</v>
      </c>
      <c r="J42" s="10">
        <f t="shared" si="7"/>
        <v>-632.05130056671862</v>
      </c>
      <c r="K42" s="10">
        <f t="shared" si="4"/>
        <v>164159.4196567469</v>
      </c>
      <c r="L42" s="11">
        <f t="shared" si="13"/>
        <v>-462.13205208333329</v>
      </c>
      <c r="M42" s="11"/>
      <c r="N42" s="11"/>
      <c r="O42" s="12">
        <f t="shared" si="14"/>
        <v>-1506.162030043336</v>
      </c>
      <c r="P42" s="10">
        <f t="shared" si="9"/>
        <v>-159945.08482673357</v>
      </c>
      <c r="Q42" s="13">
        <f t="shared" si="5"/>
        <v>260151.0025</v>
      </c>
      <c r="R42" s="10">
        <f t="shared" si="15"/>
        <v>164159.4196567469</v>
      </c>
      <c r="S42" s="10">
        <f t="shared" si="12"/>
        <v>-63953.50198348047</v>
      </c>
    </row>
    <row r="43" spans="2:19" x14ac:dyDescent="0.25">
      <c r="C43" s="3"/>
      <c r="F43" s="2">
        <f t="shared" si="10"/>
        <v>4</v>
      </c>
      <c r="G43" s="2">
        <f t="shared" si="11"/>
        <v>5</v>
      </c>
      <c r="H43" s="10">
        <f t="shared" si="0"/>
        <v>-1044.0299779600027</v>
      </c>
      <c r="I43" s="11">
        <f t="shared" si="8"/>
        <v>-410.39854914186725</v>
      </c>
      <c r="J43" s="10">
        <f t="shared" si="7"/>
        <v>-633.63142881813542</v>
      </c>
      <c r="K43" s="10">
        <f t="shared" si="4"/>
        <v>163525.78822792877</v>
      </c>
      <c r="L43" s="11">
        <f t="shared" si="13"/>
        <v>-462.13205208333329</v>
      </c>
      <c r="M43" s="11"/>
      <c r="N43" s="11"/>
      <c r="O43" s="12">
        <f t="shared" si="14"/>
        <v>-1506.162030043336</v>
      </c>
      <c r="P43" s="10">
        <f t="shared" si="9"/>
        <v>-161451.24685677691</v>
      </c>
      <c r="Q43" s="13">
        <f t="shared" si="5"/>
        <v>260151.0025</v>
      </c>
      <c r="R43" s="10">
        <f t="shared" si="15"/>
        <v>163525.78822792877</v>
      </c>
      <c r="S43" s="10">
        <f t="shared" si="12"/>
        <v>-64826.032584705681</v>
      </c>
    </row>
    <row r="44" spans="2:19" x14ac:dyDescent="0.25">
      <c r="C44" s="3"/>
      <c r="F44" s="2">
        <f t="shared" si="10"/>
        <v>4</v>
      </c>
      <c r="G44" s="2">
        <f t="shared" si="11"/>
        <v>6</v>
      </c>
      <c r="H44" s="10">
        <f t="shared" si="0"/>
        <v>-1044.0299779600027</v>
      </c>
      <c r="I44" s="11">
        <f t="shared" si="8"/>
        <v>-408.81447056982194</v>
      </c>
      <c r="J44" s="10">
        <f t="shared" si="7"/>
        <v>-635.21550739018085</v>
      </c>
      <c r="K44" s="10">
        <f t="shared" si="4"/>
        <v>162890.57272053859</v>
      </c>
      <c r="L44" s="11">
        <f t="shared" si="13"/>
        <v>-462.13205208333329</v>
      </c>
      <c r="M44" s="11"/>
      <c r="N44" s="11"/>
      <c r="O44" s="12">
        <f t="shared" si="14"/>
        <v>-1506.162030043336</v>
      </c>
      <c r="P44" s="10">
        <f t="shared" si="9"/>
        <v>-162957.40888682025</v>
      </c>
      <c r="Q44" s="13">
        <f t="shared" si="5"/>
        <v>260151.0025</v>
      </c>
      <c r="R44" s="10">
        <f t="shared" si="15"/>
        <v>162890.57272053859</v>
      </c>
      <c r="S44" s="10">
        <f t="shared" si="12"/>
        <v>-65696.979107358842</v>
      </c>
    </row>
    <row r="45" spans="2:19" x14ac:dyDescent="0.25">
      <c r="C45" s="3"/>
      <c r="F45" s="2">
        <f t="shared" si="10"/>
        <v>4</v>
      </c>
      <c r="G45" s="2">
        <f t="shared" si="11"/>
        <v>7</v>
      </c>
      <c r="H45" s="10">
        <f t="shared" si="0"/>
        <v>-1044.0299779600027</v>
      </c>
      <c r="I45" s="11">
        <f t="shared" si="8"/>
        <v>-407.22643180134651</v>
      </c>
      <c r="J45" s="10">
        <f t="shared" si="7"/>
        <v>-636.80354615865622</v>
      </c>
      <c r="K45" s="10">
        <f t="shared" si="4"/>
        <v>162253.76917437994</v>
      </c>
      <c r="L45" s="11">
        <f t="shared" si="13"/>
        <v>-462.13205208333329</v>
      </c>
      <c r="M45" s="11"/>
      <c r="N45" s="11"/>
      <c r="O45" s="12">
        <f t="shared" si="14"/>
        <v>-1506.162030043336</v>
      </c>
      <c r="P45" s="10">
        <f t="shared" si="9"/>
        <v>-164463.57091686359</v>
      </c>
      <c r="Q45" s="13">
        <f t="shared" si="5"/>
        <v>260151.0025</v>
      </c>
      <c r="R45" s="10">
        <f t="shared" si="15"/>
        <v>162253.76917437994</v>
      </c>
      <c r="S45" s="10">
        <f t="shared" si="12"/>
        <v>-66566.337591243529</v>
      </c>
    </row>
    <row r="46" spans="2:19" x14ac:dyDescent="0.25">
      <c r="C46" s="3"/>
      <c r="F46" s="2">
        <f t="shared" si="10"/>
        <v>4</v>
      </c>
      <c r="G46" s="2">
        <f t="shared" si="11"/>
        <v>8</v>
      </c>
      <c r="H46" s="10">
        <f t="shared" si="0"/>
        <v>-1044.0299779600027</v>
      </c>
      <c r="I46" s="11">
        <f t="shared" si="8"/>
        <v>-405.63442293594983</v>
      </c>
      <c r="J46" s="10">
        <f t="shared" si="7"/>
        <v>-638.3955550240529</v>
      </c>
      <c r="K46" s="10">
        <f t="shared" si="4"/>
        <v>161615.37361935587</v>
      </c>
      <c r="L46" s="11">
        <f t="shared" si="13"/>
        <v>-462.13205208333329</v>
      </c>
      <c r="M46" s="11"/>
      <c r="N46" s="11"/>
      <c r="O46" s="12">
        <f t="shared" si="14"/>
        <v>-1506.162030043336</v>
      </c>
      <c r="P46" s="10">
        <f t="shared" si="9"/>
        <v>-165969.73294690694</v>
      </c>
      <c r="Q46" s="13">
        <f t="shared" si="5"/>
        <v>260151.0025</v>
      </c>
      <c r="R46" s="10">
        <f t="shared" si="15"/>
        <v>161615.37361935587</v>
      </c>
      <c r="S46" s="10">
        <f t="shared" si="12"/>
        <v>-67434.104066262807</v>
      </c>
    </row>
    <row r="47" spans="2:19" x14ac:dyDescent="0.25">
      <c r="F47" s="2">
        <f t="shared" si="10"/>
        <v>4</v>
      </c>
      <c r="G47" s="2">
        <f t="shared" si="11"/>
        <v>9</v>
      </c>
      <c r="H47" s="10">
        <f t="shared" si="0"/>
        <v>-1044.0299779600027</v>
      </c>
      <c r="I47" s="11">
        <f t="shared" si="8"/>
        <v>-404.03843404838972</v>
      </c>
      <c r="J47" s="10">
        <f t="shared" si="7"/>
        <v>-639.99154391161301</v>
      </c>
      <c r="K47" s="10">
        <f t="shared" si="4"/>
        <v>160975.38207544427</v>
      </c>
      <c r="L47" s="11">
        <f t="shared" si="13"/>
        <v>-462.13205208333329</v>
      </c>
      <c r="M47" s="11"/>
      <c r="N47" s="11"/>
      <c r="O47" s="12">
        <f t="shared" si="14"/>
        <v>-1506.162030043336</v>
      </c>
      <c r="P47" s="10">
        <f t="shared" si="9"/>
        <v>-167475.89497695028</v>
      </c>
      <c r="Q47" s="13">
        <f t="shared" si="5"/>
        <v>260151.0025</v>
      </c>
      <c r="R47" s="10">
        <f t="shared" si="15"/>
        <v>160975.38207544427</v>
      </c>
      <c r="S47" s="10">
        <f t="shared" si="12"/>
        <v>-68300.274552394549</v>
      </c>
    </row>
    <row r="48" spans="2:19" x14ac:dyDescent="0.25">
      <c r="F48" s="2">
        <f t="shared" si="10"/>
        <v>4</v>
      </c>
      <c r="G48" s="2">
        <f t="shared" si="11"/>
        <v>10</v>
      </c>
      <c r="H48" s="10">
        <f t="shared" si="0"/>
        <v>-1044.0299779600027</v>
      </c>
      <c r="I48" s="11">
        <f t="shared" si="8"/>
        <v>-402.4384551886107</v>
      </c>
      <c r="J48" s="10">
        <f t="shared" si="7"/>
        <v>-641.59152277139196</v>
      </c>
      <c r="K48" s="10">
        <f t="shared" si="4"/>
        <v>160333.79055267287</v>
      </c>
      <c r="L48" s="11">
        <f t="shared" si="13"/>
        <v>-462.13205208333329</v>
      </c>
      <c r="M48" s="11"/>
      <c r="N48" s="11"/>
      <c r="O48" s="12">
        <f t="shared" si="14"/>
        <v>-1506.162030043336</v>
      </c>
      <c r="P48" s="10">
        <f t="shared" si="9"/>
        <v>-168982.05700699362</v>
      </c>
      <c r="Q48" s="13">
        <f t="shared" si="5"/>
        <v>260151.0025</v>
      </c>
      <c r="R48" s="10">
        <f t="shared" si="15"/>
        <v>160333.79055267287</v>
      </c>
      <c r="S48" s="10">
        <f t="shared" si="12"/>
        <v>-69164.845059666492</v>
      </c>
    </row>
    <row r="49" spans="4:19" x14ac:dyDescent="0.25">
      <c r="F49" s="2">
        <f t="shared" si="10"/>
        <v>4</v>
      </c>
      <c r="G49" s="2">
        <f t="shared" si="11"/>
        <v>11</v>
      </c>
      <c r="H49" s="10">
        <f t="shared" si="0"/>
        <v>-1044.0299779600027</v>
      </c>
      <c r="I49" s="11">
        <f t="shared" si="8"/>
        <v>-400.83447638168218</v>
      </c>
      <c r="J49" s="10">
        <f t="shared" si="7"/>
        <v>-643.19550157832055</v>
      </c>
      <c r="K49" s="10">
        <f t="shared" si="4"/>
        <v>159690.59505109454</v>
      </c>
      <c r="L49" s="11">
        <f t="shared" si="13"/>
        <v>-462.13205208333329</v>
      </c>
      <c r="M49" s="11"/>
      <c r="N49" s="11"/>
      <c r="O49" s="12">
        <f t="shared" si="14"/>
        <v>-1506.162030043336</v>
      </c>
      <c r="P49" s="10">
        <f t="shared" si="9"/>
        <v>-170488.21903703696</v>
      </c>
      <c r="Q49" s="13">
        <f t="shared" si="5"/>
        <v>260151.0025</v>
      </c>
      <c r="R49" s="10">
        <f t="shared" si="15"/>
        <v>159690.59505109454</v>
      </c>
      <c r="S49" s="10">
        <f t="shared" si="12"/>
        <v>-70027.811588131503</v>
      </c>
    </row>
    <row r="50" spans="4:19" x14ac:dyDescent="0.25">
      <c r="F50" s="2">
        <f t="shared" si="10"/>
        <v>4</v>
      </c>
      <c r="G50" s="2">
        <f t="shared" si="11"/>
        <v>12</v>
      </c>
      <c r="H50" s="10">
        <f t="shared" si="0"/>
        <v>-1044.0299779600027</v>
      </c>
      <c r="I50" s="11">
        <f t="shared" si="8"/>
        <v>-399.22648762773633</v>
      </c>
      <c r="J50" s="10">
        <f t="shared" si="7"/>
        <v>-644.80349033226639</v>
      </c>
      <c r="K50" s="10">
        <f t="shared" si="4"/>
        <v>159045.79156076227</v>
      </c>
      <c r="L50" s="11">
        <f t="shared" si="13"/>
        <v>-462.13205208333329</v>
      </c>
      <c r="M50" s="11"/>
      <c r="N50" s="11"/>
      <c r="O50" s="12">
        <f t="shared" si="14"/>
        <v>-1506.162030043336</v>
      </c>
      <c r="P50" s="10">
        <f t="shared" si="9"/>
        <v>-171994.38106708031</v>
      </c>
      <c r="Q50" s="13">
        <f t="shared" si="5"/>
        <v>260151.0025</v>
      </c>
      <c r="R50" s="10">
        <f t="shared" si="15"/>
        <v>159045.79156076227</v>
      </c>
      <c r="S50" s="10">
        <f t="shared" si="12"/>
        <v>-70889.170127842575</v>
      </c>
    </row>
    <row r="51" spans="4:19" x14ac:dyDescent="0.25">
      <c r="F51" s="2">
        <f t="shared" si="10"/>
        <v>5</v>
      </c>
      <c r="G51" s="2">
        <f t="shared" si="11"/>
        <v>1</v>
      </c>
      <c r="H51" s="10">
        <f t="shared" si="0"/>
        <v>-1044.0299779600027</v>
      </c>
      <c r="I51" s="11">
        <f t="shared" si="8"/>
        <v>-397.61447890190567</v>
      </c>
      <c r="J51" s="10">
        <f t="shared" si="7"/>
        <v>-646.41549905809711</v>
      </c>
      <c r="K51" s="10">
        <f t="shared" si="4"/>
        <v>158399.37606170418</v>
      </c>
      <c r="L51" s="11">
        <f t="shared" si="13"/>
        <v>-466.42239310416664</v>
      </c>
      <c r="M51" s="11"/>
      <c r="N51" s="11"/>
      <c r="O51" s="12">
        <f t="shared" si="14"/>
        <v>-1510.4523710641693</v>
      </c>
      <c r="P51" s="10">
        <f t="shared" si="9"/>
        <v>-173504.83343814447</v>
      </c>
      <c r="Q51" s="13">
        <f t="shared" si="5"/>
        <v>262752.51252499997</v>
      </c>
      <c r="R51" s="10">
        <f t="shared" si="15"/>
        <v>158399.37606170418</v>
      </c>
      <c r="S51" s="10">
        <f t="shared" si="12"/>
        <v>-69151.696974848688</v>
      </c>
    </row>
    <row r="52" spans="4:19" x14ac:dyDescent="0.25">
      <c r="F52" s="2">
        <f t="shared" si="10"/>
        <v>5</v>
      </c>
      <c r="G52" s="2">
        <f t="shared" si="11"/>
        <v>2</v>
      </c>
      <c r="H52" s="10">
        <f t="shared" si="0"/>
        <v>-1044.0299779600027</v>
      </c>
      <c r="I52" s="11">
        <f t="shared" si="8"/>
        <v>-395.99844015426049</v>
      </c>
      <c r="J52" s="10">
        <f t="shared" si="7"/>
        <v>-648.03153780574223</v>
      </c>
      <c r="K52" s="10">
        <f t="shared" si="4"/>
        <v>157751.34452389844</v>
      </c>
      <c r="L52" s="11">
        <f t="shared" si="13"/>
        <v>-466.42239310416664</v>
      </c>
      <c r="M52" s="11"/>
      <c r="N52" s="11"/>
      <c r="O52" s="12">
        <f t="shared" si="14"/>
        <v>-1510.4523710641693</v>
      </c>
      <c r="P52" s="10">
        <f t="shared" si="9"/>
        <v>-175015.28580920864</v>
      </c>
      <c r="Q52" s="13">
        <f t="shared" si="5"/>
        <v>262752.51252499997</v>
      </c>
      <c r="R52" s="10">
        <f t="shared" si="15"/>
        <v>157751.34452389844</v>
      </c>
      <c r="S52" s="10">
        <f t="shared" si="12"/>
        <v>-70014.117808107112</v>
      </c>
    </row>
    <row r="53" spans="4:19" x14ac:dyDescent="0.25">
      <c r="F53" s="2">
        <f t="shared" si="10"/>
        <v>5</v>
      </c>
      <c r="G53" s="2">
        <f t="shared" si="11"/>
        <v>3</v>
      </c>
      <c r="H53" s="10">
        <f t="shared" si="0"/>
        <v>-1044.0299779600027</v>
      </c>
      <c r="I53" s="11">
        <f t="shared" si="8"/>
        <v>-394.37836130974614</v>
      </c>
      <c r="J53" s="10">
        <f t="shared" si="7"/>
        <v>-649.65161665025653</v>
      </c>
      <c r="K53" s="10">
        <f t="shared" si="4"/>
        <v>157101.69290724819</v>
      </c>
      <c r="L53" s="11">
        <f t="shared" si="13"/>
        <v>-466.42239310416664</v>
      </c>
      <c r="M53" s="11"/>
      <c r="N53" s="11"/>
      <c r="O53" s="12">
        <f t="shared" si="14"/>
        <v>-1510.4523710641693</v>
      </c>
      <c r="P53" s="10">
        <f t="shared" si="9"/>
        <v>-176525.73818027281</v>
      </c>
      <c r="Q53" s="13">
        <f t="shared" si="5"/>
        <v>262752.51252499997</v>
      </c>
      <c r="R53" s="10">
        <f t="shared" si="15"/>
        <v>157101.69290724819</v>
      </c>
      <c r="S53" s="10">
        <f t="shared" si="12"/>
        <v>-70874.918562521023</v>
      </c>
    </row>
    <row r="54" spans="4:19" x14ac:dyDescent="0.25">
      <c r="F54" s="2">
        <f t="shared" si="10"/>
        <v>5</v>
      </c>
      <c r="G54" s="2">
        <f t="shared" si="11"/>
        <v>4</v>
      </c>
      <c r="H54" s="10">
        <f t="shared" si="0"/>
        <v>-1044.0299779600027</v>
      </c>
      <c r="I54" s="11">
        <f t="shared" si="8"/>
        <v>-392.75423226812046</v>
      </c>
      <c r="J54" s="10">
        <f t="shared" si="7"/>
        <v>-651.27574569188232</v>
      </c>
      <c r="K54" s="10">
        <f t="shared" si="4"/>
        <v>156450.41716155631</v>
      </c>
      <c r="L54" s="11">
        <f t="shared" si="13"/>
        <v>-466.42239310416664</v>
      </c>
      <c r="M54" s="11"/>
      <c r="N54" s="11"/>
      <c r="O54" s="12">
        <f t="shared" si="14"/>
        <v>-1510.4523710641693</v>
      </c>
      <c r="P54" s="10">
        <f t="shared" si="9"/>
        <v>-178036.19055133697</v>
      </c>
      <c r="Q54" s="13">
        <f t="shared" si="5"/>
        <v>262752.51252499997</v>
      </c>
      <c r="R54" s="10">
        <f t="shared" si="15"/>
        <v>156450.41716155631</v>
      </c>
      <c r="S54" s="10">
        <f t="shared" si="12"/>
        <v>-71734.095187893312</v>
      </c>
    </row>
    <row r="55" spans="4:19" x14ac:dyDescent="0.25">
      <c r="F55" s="2">
        <f t="shared" si="10"/>
        <v>5</v>
      </c>
      <c r="G55" s="2">
        <f t="shared" si="11"/>
        <v>5</v>
      </c>
      <c r="H55" s="10">
        <f t="shared" si="0"/>
        <v>-1044.0299779600027</v>
      </c>
      <c r="I55" s="11">
        <f t="shared" si="8"/>
        <v>-391.12604290389078</v>
      </c>
      <c r="J55" s="10">
        <f t="shared" si="7"/>
        <v>-652.903935056112</v>
      </c>
      <c r="K55" s="10">
        <f t="shared" si="4"/>
        <v>155797.51322650019</v>
      </c>
      <c r="L55" s="11">
        <f t="shared" si="13"/>
        <v>-466.42239310416664</v>
      </c>
      <c r="M55" s="11"/>
      <c r="N55" s="11"/>
      <c r="O55" s="12">
        <f t="shared" si="14"/>
        <v>-1510.4523710641693</v>
      </c>
      <c r="P55" s="10">
        <f t="shared" si="9"/>
        <v>-179546.64292240114</v>
      </c>
      <c r="Q55" s="13">
        <f t="shared" si="5"/>
        <v>262752.51252499997</v>
      </c>
      <c r="R55" s="10">
        <f t="shared" si="15"/>
        <v>155797.51322650019</v>
      </c>
      <c r="S55" s="10">
        <f t="shared" si="12"/>
        <v>-72591.643623901356</v>
      </c>
    </row>
    <row r="56" spans="4:19" x14ac:dyDescent="0.25">
      <c r="F56" s="2">
        <f t="shared" si="10"/>
        <v>5</v>
      </c>
      <c r="G56" s="2">
        <f t="shared" si="11"/>
        <v>6</v>
      </c>
      <c r="H56" s="10">
        <f t="shared" si="0"/>
        <v>-1044.0299779600027</v>
      </c>
      <c r="I56" s="11">
        <f t="shared" si="8"/>
        <v>-389.4937830662505</v>
      </c>
      <c r="J56" s="10">
        <f t="shared" si="7"/>
        <v>-654.53619489375228</v>
      </c>
      <c r="K56" s="10">
        <f t="shared" si="4"/>
        <v>155142.97703160642</v>
      </c>
      <c r="L56" s="11">
        <f t="shared" si="13"/>
        <v>-466.42239310416664</v>
      </c>
      <c r="M56" s="11"/>
      <c r="N56" s="11"/>
      <c r="O56" s="12">
        <f t="shared" si="14"/>
        <v>-1510.4523710641693</v>
      </c>
      <c r="P56" s="10">
        <f t="shared" si="9"/>
        <v>-181057.0952934653</v>
      </c>
      <c r="Q56" s="13">
        <f t="shared" si="5"/>
        <v>262752.51252499997</v>
      </c>
      <c r="R56" s="10">
        <f t="shared" si="15"/>
        <v>155142.97703160642</v>
      </c>
      <c r="S56" s="10">
        <f t="shared" si="12"/>
        <v>-73447.559800071758</v>
      </c>
    </row>
    <row r="57" spans="4:19" x14ac:dyDescent="0.25">
      <c r="F57" s="2">
        <f t="shared" si="10"/>
        <v>5</v>
      </c>
      <c r="G57" s="2">
        <f t="shared" si="11"/>
        <v>7</v>
      </c>
      <c r="H57" s="10">
        <f t="shared" si="0"/>
        <v>-1044.0299779600027</v>
      </c>
      <c r="I57" s="11">
        <f t="shared" si="8"/>
        <v>-387.85744257901609</v>
      </c>
      <c r="J57" s="10">
        <f t="shared" si="7"/>
        <v>-656.17253538098657</v>
      </c>
      <c r="K57" s="10">
        <f t="shared" si="4"/>
        <v>154486.80449622544</v>
      </c>
      <c r="L57" s="11">
        <f t="shared" si="13"/>
        <v>-466.42239310416664</v>
      </c>
      <c r="M57" s="11"/>
      <c r="N57" s="11"/>
      <c r="O57" s="12">
        <f t="shared" si="14"/>
        <v>-1510.4523710641693</v>
      </c>
      <c r="P57" s="10">
        <f t="shared" si="9"/>
        <v>-182567.54766452947</v>
      </c>
      <c r="Q57" s="13">
        <f t="shared" si="5"/>
        <v>262752.51252499997</v>
      </c>
      <c r="R57" s="10">
        <f t="shared" si="15"/>
        <v>154486.80449622544</v>
      </c>
      <c r="S57" s="10">
        <f t="shared" si="12"/>
        <v>-74301.839635754935</v>
      </c>
    </row>
    <row r="58" spans="4:19" x14ac:dyDescent="0.25">
      <c r="F58" s="2">
        <f t="shared" si="10"/>
        <v>5</v>
      </c>
      <c r="G58" s="2">
        <f t="shared" si="11"/>
        <v>8</v>
      </c>
      <c r="H58" s="10">
        <f t="shared" si="0"/>
        <v>-1044.0299779600027</v>
      </c>
      <c r="I58" s="11">
        <f t="shared" si="8"/>
        <v>-386.21701124056358</v>
      </c>
      <c r="J58" s="10">
        <f t="shared" si="7"/>
        <v>-657.81296671943915</v>
      </c>
      <c r="K58" s="10">
        <f t="shared" si="4"/>
        <v>153828.99152950599</v>
      </c>
      <c r="L58" s="11">
        <f t="shared" si="13"/>
        <v>-466.42239310416664</v>
      </c>
      <c r="M58" s="11"/>
      <c r="N58" s="11"/>
      <c r="O58" s="12">
        <f t="shared" si="14"/>
        <v>-1510.4523710641693</v>
      </c>
      <c r="P58" s="10">
        <f t="shared" si="9"/>
        <v>-184078.00003559364</v>
      </c>
      <c r="Q58" s="13">
        <f t="shared" si="5"/>
        <v>262752.51252499997</v>
      </c>
      <c r="R58" s="10">
        <f t="shared" si="15"/>
        <v>153828.99152950599</v>
      </c>
      <c r="S58" s="10">
        <f t="shared" si="12"/>
        <v>-75154.479040099657</v>
      </c>
    </row>
    <row r="59" spans="4:19" x14ac:dyDescent="0.25">
      <c r="F59" s="2">
        <f t="shared" si="10"/>
        <v>5</v>
      </c>
      <c r="G59" s="2">
        <f t="shared" si="11"/>
        <v>9</v>
      </c>
      <c r="H59" s="10">
        <f t="shared" si="0"/>
        <v>-1044.0299779600027</v>
      </c>
      <c r="I59" s="11">
        <f t="shared" si="8"/>
        <v>-384.57247882376498</v>
      </c>
      <c r="J59" s="10">
        <f t="shared" si="7"/>
        <v>-659.45749913623774</v>
      </c>
      <c r="K59" s="10">
        <f t="shared" si="4"/>
        <v>153169.53403036974</v>
      </c>
      <c r="L59" s="11">
        <f t="shared" si="13"/>
        <v>-466.42239310416664</v>
      </c>
      <c r="M59" s="11"/>
      <c r="N59" s="11"/>
      <c r="O59" s="12">
        <f t="shared" si="14"/>
        <v>-1510.4523710641693</v>
      </c>
      <c r="P59" s="10">
        <f t="shared" si="9"/>
        <v>-185588.4524066578</v>
      </c>
      <c r="Q59" s="13">
        <f t="shared" si="5"/>
        <v>262752.51252499997</v>
      </c>
      <c r="R59" s="10">
        <f t="shared" si="15"/>
        <v>153169.53403036974</v>
      </c>
      <c r="S59" s="10">
        <f t="shared" si="12"/>
        <v>-76005.473912027577</v>
      </c>
    </row>
    <row r="60" spans="4:19" x14ac:dyDescent="0.25">
      <c r="F60" s="2">
        <f t="shared" si="10"/>
        <v>5</v>
      </c>
      <c r="G60" s="2">
        <f t="shared" si="11"/>
        <v>10</v>
      </c>
      <c r="H60" s="10">
        <f t="shared" si="0"/>
        <v>-1044.0299779600027</v>
      </c>
      <c r="I60" s="11">
        <f t="shared" si="8"/>
        <v>-382.92383507592439</v>
      </c>
      <c r="J60" s="10">
        <f t="shared" si="7"/>
        <v>-661.10614288407828</v>
      </c>
      <c r="K60" s="10">
        <f t="shared" si="4"/>
        <v>152508.42788748565</v>
      </c>
      <c r="L60" s="11">
        <f t="shared" si="13"/>
        <v>-466.42239310416664</v>
      </c>
      <c r="M60" s="11"/>
      <c r="N60" s="11"/>
      <c r="O60" s="12">
        <f t="shared" si="14"/>
        <v>-1510.4523710641693</v>
      </c>
      <c r="P60" s="10">
        <f t="shared" si="9"/>
        <v>-187098.90477772197</v>
      </c>
      <c r="Q60" s="13">
        <f t="shared" si="5"/>
        <v>262752.51252499997</v>
      </c>
      <c r="R60" s="10">
        <f t="shared" si="15"/>
        <v>152508.42788748565</v>
      </c>
      <c r="S60" s="10">
        <f t="shared" si="12"/>
        <v>-76854.820140207652</v>
      </c>
    </row>
    <row r="61" spans="4:19" x14ac:dyDescent="0.25">
      <c r="F61" s="2">
        <f t="shared" si="10"/>
        <v>5</v>
      </c>
      <c r="G61" s="2">
        <f t="shared" si="11"/>
        <v>11</v>
      </c>
      <c r="H61" s="10">
        <f t="shared" si="0"/>
        <v>-1044.0299779600027</v>
      </c>
      <c r="I61" s="11">
        <f t="shared" si="8"/>
        <v>-381.27106971871416</v>
      </c>
      <c r="J61" s="10">
        <f t="shared" si="7"/>
        <v>-662.75890824128851</v>
      </c>
      <c r="K61" s="10">
        <f t="shared" si="4"/>
        <v>151845.66897924436</v>
      </c>
      <c r="L61" s="11">
        <f t="shared" si="13"/>
        <v>-466.42239310416664</v>
      </c>
      <c r="M61" s="11"/>
      <c r="N61" s="11"/>
      <c r="O61" s="12">
        <f t="shared" si="14"/>
        <v>-1510.4523710641693</v>
      </c>
      <c r="P61" s="10">
        <f t="shared" si="9"/>
        <v>-188609.35714878613</v>
      </c>
      <c r="Q61" s="13">
        <f t="shared" si="5"/>
        <v>262752.51252499997</v>
      </c>
      <c r="R61" s="10">
        <f t="shared" si="15"/>
        <v>151845.66897924436</v>
      </c>
      <c r="S61" s="10">
        <f t="shared" si="12"/>
        <v>-77702.513603030529</v>
      </c>
    </row>
    <row r="62" spans="4:19" x14ac:dyDescent="0.25">
      <c r="F62" s="2">
        <f t="shared" si="10"/>
        <v>5</v>
      </c>
      <c r="G62" s="2">
        <f t="shared" si="11"/>
        <v>12</v>
      </c>
      <c r="H62" s="10">
        <f t="shared" si="0"/>
        <v>-1044.0299779600027</v>
      </c>
      <c r="I62" s="11">
        <f t="shared" si="8"/>
        <v>-379.61417244811093</v>
      </c>
      <c r="J62" s="10">
        <f t="shared" si="7"/>
        <v>-664.41580551189179</v>
      </c>
      <c r="K62" s="10">
        <f t="shared" si="4"/>
        <v>151181.25317373246</v>
      </c>
      <c r="L62" s="11">
        <f t="shared" si="13"/>
        <v>-466.42239310416664</v>
      </c>
      <c r="M62" s="11"/>
      <c r="N62" s="11"/>
      <c r="O62" s="12">
        <f t="shared" si="14"/>
        <v>-1510.4523710641693</v>
      </c>
      <c r="P62" s="10">
        <f>P61+O62</f>
        <v>-190119.8095198503</v>
      </c>
      <c r="Q62" s="13">
        <f t="shared" si="5"/>
        <v>262752.51252499997</v>
      </c>
      <c r="R62" s="10">
        <f t="shared" si="15"/>
        <v>151181.25317373246</v>
      </c>
      <c r="S62" s="10">
        <f t="shared" si="12"/>
        <v>-78548.550168582791</v>
      </c>
    </row>
    <row r="63" spans="4:19" x14ac:dyDescent="0.25">
      <c r="D63" s="18" t="s">
        <v>49</v>
      </c>
      <c r="F63" s="2">
        <f t="shared" si="10"/>
        <v>6</v>
      </c>
      <c r="G63" s="2">
        <f t="shared" si="11"/>
        <v>1</v>
      </c>
      <c r="H63" s="10">
        <f t="shared" si="0"/>
        <v>-1044.0299779600027</v>
      </c>
      <c r="I63" s="11">
        <f t="shared" ref="I63:I122" si="16">-K62*$D$12</f>
        <v>-377.95313293433117</v>
      </c>
      <c r="J63" s="10">
        <f t="shared" ref="J63:J122" si="17">H63-I63</f>
        <v>-666.07684502567156</v>
      </c>
      <c r="K63" s="10">
        <f t="shared" ref="K63:K122" si="18">K62+J63</f>
        <v>150515.17632870679</v>
      </c>
      <c r="L63" s="11">
        <f>-($C$15/12+$C$17*$C$11/12+$C$18/12*(1+$C$19)^($F63-1)+$C$20*Q63/12)-N63*$C$34</f>
        <v>-522.5803329813524</v>
      </c>
      <c r="M63" s="11">
        <f t="shared" ref="M63:M94" si="19">-$C$35*(1+$C$36)^($F63-1)</f>
        <v>-938.46868272000006</v>
      </c>
      <c r="N63" s="11">
        <f>-M63*$C$32</f>
        <v>863.39118810240006</v>
      </c>
      <c r="O63" s="12">
        <f>L63+H63+M63+N63</f>
        <v>-1641.6878055589555</v>
      </c>
      <c r="P63" s="10">
        <f t="shared" ref="P63:P122" si="20">P62+O63</f>
        <v>-191761.49732540926</v>
      </c>
      <c r="Q63" s="13">
        <f t="shared" si="5"/>
        <v>265380.03765025001</v>
      </c>
      <c r="R63" s="10"/>
      <c r="S63" s="10"/>
    </row>
    <row r="64" spans="4:19" x14ac:dyDescent="0.25">
      <c r="F64" s="2">
        <f t="shared" si="10"/>
        <v>6</v>
      </c>
      <c r="G64" s="2">
        <f t="shared" si="11"/>
        <v>2</v>
      </c>
      <c r="H64" s="10">
        <f t="shared" si="0"/>
        <v>-1044.0299779600027</v>
      </c>
      <c r="I64" s="11">
        <f t="shared" si="16"/>
        <v>-376.28794082176699</v>
      </c>
      <c r="J64" s="10">
        <f t="shared" si="17"/>
        <v>-667.74203713823567</v>
      </c>
      <c r="K64" s="10">
        <f t="shared" si="18"/>
        <v>149847.43429156856</v>
      </c>
      <c r="L64" s="11">
        <f t="shared" ref="L64:L122" si="21">-($C$15/12+$C$17*$C$11/12+$C$18/12*(1+$C$19)^($F64-1)+$C$20*Q64/12)-N64*$C$34</f>
        <v>-522.5803329813524</v>
      </c>
      <c r="M64" s="11">
        <f t="shared" si="19"/>
        <v>-938.46868272000006</v>
      </c>
      <c r="N64" s="11">
        <f t="shared" ref="N64:N122" si="22">-M64*$C$32</f>
        <v>863.39118810240006</v>
      </c>
      <c r="O64" s="12">
        <f t="shared" ref="O64:O121" si="23">L64+H64+M64+N64</f>
        <v>-1641.6878055589555</v>
      </c>
      <c r="P64" s="10">
        <f t="shared" si="20"/>
        <v>-193403.18513096822</v>
      </c>
      <c r="Q64" s="13">
        <f t="shared" si="5"/>
        <v>265380.03765025001</v>
      </c>
      <c r="R64" s="10"/>
      <c r="S64" s="10"/>
    </row>
    <row r="65" spans="3:19" x14ac:dyDescent="0.25">
      <c r="F65" s="2">
        <f t="shared" si="10"/>
        <v>6</v>
      </c>
      <c r="G65" s="2">
        <f t="shared" si="11"/>
        <v>3</v>
      </c>
      <c r="H65" s="10">
        <f t="shared" si="0"/>
        <v>-1044.0299779600027</v>
      </c>
      <c r="I65" s="11">
        <f t="shared" si="16"/>
        <v>-374.6185857289214</v>
      </c>
      <c r="J65" s="10">
        <f t="shared" si="17"/>
        <v>-669.41139223108132</v>
      </c>
      <c r="K65" s="10">
        <f t="shared" si="18"/>
        <v>149178.02289933746</v>
      </c>
      <c r="L65" s="11">
        <f t="shared" si="21"/>
        <v>-522.5803329813524</v>
      </c>
      <c r="M65" s="11">
        <f t="shared" si="19"/>
        <v>-938.46868272000006</v>
      </c>
      <c r="N65" s="11">
        <f t="shared" si="22"/>
        <v>863.39118810240006</v>
      </c>
      <c r="O65" s="12">
        <f t="shared" si="23"/>
        <v>-1641.6878055589555</v>
      </c>
      <c r="P65" s="10">
        <f t="shared" si="20"/>
        <v>-195044.87293652719</v>
      </c>
      <c r="Q65" s="13">
        <f t="shared" si="5"/>
        <v>265380.03765025001</v>
      </c>
      <c r="R65" s="10"/>
      <c r="S65" s="10"/>
    </row>
    <row r="66" spans="3:19" x14ac:dyDescent="0.25">
      <c r="C66" s="3"/>
      <c r="F66" s="2">
        <f t="shared" si="10"/>
        <v>6</v>
      </c>
      <c r="G66" s="2">
        <f t="shared" si="11"/>
        <v>4</v>
      </c>
      <c r="H66" s="10">
        <f t="shared" si="0"/>
        <v>-1044.0299779600027</v>
      </c>
      <c r="I66" s="11">
        <f t="shared" si="16"/>
        <v>-372.94505724834369</v>
      </c>
      <c r="J66" s="10">
        <f t="shared" si="17"/>
        <v>-671.08492071165904</v>
      </c>
      <c r="K66" s="10">
        <f t="shared" si="18"/>
        <v>148506.93797862579</v>
      </c>
      <c r="L66" s="11">
        <f t="shared" si="21"/>
        <v>-522.5803329813524</v>
      </c>
      <c r="M66" s="11">
        <f t="shared" si="19"/>
        <v>-938.46868272000006</v>
      </c>
      <c r="N66" s="11">
        <f t="shared" si="22"/>
        <v>863.39118810240006</v>
      </c>
      <c r="O66" s="12">
        <f t="shared" si="23"/>
        <v>-1641.6878055589555</v>
      </c>
      <c r="P66" s="10">
        <f t="shared" si="20"/>
        <v>-196686.56074208615</v>
      </c>
      <c r="Q66" s="13">
        <f t="shared" si="5"/>
        <v>265380.03765025001</v>
      </c>
      <c r="R66" s="10"/>
      <c r="S66" s="10"/>
    </row>
    <row r="67" spans="3:19" x14ac:dyDescent="0.25">
      <c r="C67" s="3"/>
      <c r="F67" s="2">
        <f t="shared" si="10"/>
        <v>6</v>
      </c>
      <c r="G67" s="2">
        <f t="shared" si="11"/>
        <v>5</v>
      </c>
      <c r="H67" s="10">
        <f t="shared" ref="H67:H122" si="24">-$C$14</f>
        <v>-1044.0299779600027</v>
      </c>
      <c r="I67" s="11">
        <f t="shared" si="16"/>
        <v>-371.26734494656449</v>
      </c>
      <c r="J67" s="10">
        <f t="shared" si="17"/>
        <v>-672.76263301343829</v>
      </c>
      <c r="K67" s="10">
        <f t="shared" si="18"/>
        <v>147834.17534561234</v>
      </c>
      <c r="L67" s="11">
        <f t="shared" si="21"/>
        <v>-522.5803329813524</v>
      </c>
      <c r="M67" s="11">
        <f t="shared" si="19"/>
        <v>-938.46868272000006</v>
      </c>
      <c r="N67" s="11">
        <f t="shared" si="22"/>
        <v>863.39118810240006</v>
      </c>
      <c r="O67" s="12">
        <f t="shared" si="23"/>
        <v>-1641.6878055589555</v>
      </c>
      <c r="P67" s="10">
        <f t="shared" si="20"/>
        <v>-198328.24854764511</v>
      </c>
      <c r="Q67" s="13">
        <f t="shared" si="5"/>
        <v>265380.03765025001</v>
      </c>
      <c r="R67" s="10"/>
      <c r="S67" s="10"/>
    </row>
    <row r="68" spans="3:19" x14ac:dyDescent="0.25">
      <c r="F68" s="2">
        <f t="shared" si="10"/>
        <v>6</v>
      </c>
      <c r="G68" s="2">
        <f t="shared" si="11"/>
        <v>6</v>
      </c>
      <c r="H68" s="10">
        <f t="shared" si="24"/>
        <v>-1044.0299779600027</v>
      </c>
      <c r="I68" s="11">
        <f t="shared" si="16"/>
        <v>-369.58543836403084</v>
      </c>
      <c r="J68" s="10">
        <f t="shared" si="17"/>
        <v>-674.44453959597195</v>
      </c>
      <c r="K68" s="10">
        <f t="shared" si="18"/>
        <v>147159.73080601636</v>
      </c>
      <c r="L68" s="11">
        <f t="shared" si="21"/>
        <v>-522.5803329813524</v>
      </c>
      <c r="M68" s="11">
        <f t="shared" si="19"/>
        <v>-938.46868272000006</v>
      </c>
      <c r="N68" s="11">
        <f t="shared" si="22"/>
        <v>863.39118810240006</v>
      </c>
      <c r="O68" s="12">
        <f t="shared" si="23"/>
        <v>-1641.6878055589555</v>
      </c>
      <c r="P68" s="10">
        <f t="shared" si="20"/>
        <v>-199969.93635320407</v>
      </c>
      <c r="Q68" s="13">
        <f t="shared" ref="Q68:Q122" si="25">$C$4*(1+$C$21)^($F68)</f>
        <v>265380.03765025001</v>
      </c>
      <c r="R68" s="10"/>
      <c r="S68" s="10"/>
    </row>
    <row r="69" spans="3:19" x14ac:dyDescent="0.25">
      <c r="F69" s="2">
        <f t="shared" si="10"/>
        <v>6</v>
      </c>
      <c r="G69" s="2">
        <f t="shared" si="11"/>
        <v>7</v>
      </c>
      <c r="H69" s="10">
        <f t="shared" si="24"/>
        <v>-1044.0299779600027</v>
      </c>
      <c r="I69" s="11">
        <f t="shared" si="16"/>
        <v>-367.89932701504091</v>
      </c>
      <c r="J69" s="10">
        <f t="shared" si="17"/>
        <v>-676.13065094496187</v>
      </c>
      <c r="K69" s="10">
        <f t="shared" si="18"/>
        <v>146483.60015507141</v>
      </c>
      <c r="L69" s="11">
        <f t="shared" si="21"/>
        <v>-522.5803329813524</v>
      </c>
      <c r="M69" s="11">
        <f t="shared" si="19"/>
        <v>-938.46868272000006</v>
      </c>
      <c r="N69" s="11">
        <f t="shared" si="22"/>
        <v>863.39118810240006</v>
      </c>
      <c r="O69" s="12">
        <f t="shared" si="23"/>
        <v>-1641.6878055589555</v>
      </c>
      <c r="P69" s="10">
        <f t="shared" si="20"/>
        <v>-201611.62415876304</v>
      </c>
      <c r="Q69" s="13">
        <f t="shared" si="25"/>
        <v>265380.03765025001</v>
      </c>
      <c r="R69" s="10"/>
      <c r="S69" s="10"/>
    </row>
    <row r="70" spans="3:19" x14ac:dyDescent="0.25">
      <c r="F70" s="2">
        <f t="shared" si="10"/>
        <v>6</v>
      </c>
      <c r="G70" s="2">
        <f t="shared" si="11"/>
        <v>8</v>
      </c>
      <c r="H70" s="10">
        <f t="shared" si="24"/>
        <v>-1044.0299779600027</v>
      </c>
      <c r="I70" s="11">
        <f t="shared" si="16"/>
        <v>-366.20900038767854</v>
      </c>
      <c r="J70" s="10">
        <f t="shared" si="17"/>
        <v>-677.82097757232418</v>
      </c>
      <c r="K70" s="10">
        <f t="shared" si="18"/>
        <v>145805.77917749909</v>
      </c>
      <c r="L70" s="11">
        <f t="shared" si="21"/>
        <v>-522.5803329813524</v>
      </c>
      <c r="M70" s="11">
        <f t="shared" si="19"/>
        <v>-938.46868272000006</v>
      </c>
      <c r="N70" s="11">
        <f t="shared" si="22"/>
        <v>863.39118810240006</v>
      </c>
      <c r="O70" s="12">
        <f t="shared" si="23"/>
        <v>-1641.6878055589555</v>
      </c>
      <c r="P70" s="10">
        <f t="shared" si="20"/>
        <v>-203253.311964322</v>
      </c>
      <c r="Q70" s="13">
        <f t="shared" si="25"/>
        <v>265380.03765025001</v>
      </c>
      <c r="R70" s="10"/>
      <c r="S70" s="10"/>
    </row>
    <row r="71" spans="3:19" x14ac:dyDescent="0.25">
      <c r="F71" s="2">
        <f t="shared" si="10"/>
        <v>6</v>
      </c>
      <c r="G71" s="2">
        <f t="shared" si="11"/>
        <v>9</v>
      </c>
      <c r="H71" s="10">
        <f t="shared" si="24"/>
        <v>-1044.0299779600027</v>
      </c>
      <c r="I71" s="11">
        <f t="shared" si="16"/>
        <v>-364.51444794374771</v>
      </c>
      <c r="J71" s="10">
        <f t="shared" si="17"/>
        <v>-679.51553001625507</v>
      </c>
      <c r="K71" s="10">
        <f t="shared" si="18"/>
        <v>145126.26364748285</v>
      </c>
      <c r="L71" s="11">
        <f t="shared" si="21"/>
        <v>-522.5803329813524</v>
      </c>
      <c r="M71" s="11">
        <f t="shared" si="19"/>
        <v>-938.46868272000006</v>
      </c>
      <c r="N71" s="11">
        <f t="shared" si="22"/>
        <v>863.39118810240006</v>
      </c>
      <c r="O71" s="12">
        <f t="shared" si="23"/>
        <v>-1641.6878055589555</v>
      </c>
      <c r="P71" s="10">
        <f t="shared" si="20"/>
        <v>-204894.99976988096</v>
      </c>
      <c r="Q71" s="13">
        <f t="shared" si="25"/>
        <v>265380.03765025001</v>
      </c>
      <c r="R71" s="10"/>
      <c r="S71" s="10"/>
    </row>
    <row r="72" spans="3:19" x14ac:dyDescent="0.25">
      <c r="F72" s="2">
        <f t="shared" si="10"/>
        <v>6</v>
      </c>
      <c r="G72" s="2">
        <f t="shared" si="11"/>
        <v>10</v>
      </c>
      <c r="H72" s="10">
        <f t="shared" si="24"/>
        <v>-1044.0299779600027</v>
      </c>
      <c r="I72" s="11">
        <f t="shared" si="16"/>
        <v>-362.81565911870712</v>
      </c>
      <c r="J72" s="10">
        <f t="shared" si="17"/>
        <v>-681.21431884129561</v>
      </c>
      <c r="K72" s="10">
        <f t="shared" si="18"/>
        <v>144445.04932864156</v>
      </c>
      <c r="L72" s="11">
        <f t="shared" si="21"/>
        <v>-522.5803329813524</v>
      </c>
      <c r="M72" s="11">
        <f t="shared" si="19"/>
        <v>-938.46868272000006</v>
      </c>
      <c r="N72" s="11">
        <f t="shared" si="22"/>
        <v>863.39118810240006</v>
      </c>
      <c r="O72" s="12">
        <f t="shared" si="23"/>
        <v>-1641.6878055589555</v>
      </c>
      <c r="P72" s="10">
        <f t="shared" si="20"/>
        <v>-206536.68757543992</v>
      </c>
      <c r="Q72" s="13">
        <f t="shared" si="25"/>
        <v>265380.03765025001</v>
      </c>
      <c r="R72" s="10"/>
      <c r="S72" s="10"/>
    </row>
    <row r="73" spans="3:19" x14ac:dyDescent="0.25">
      <c r="F73" s="2">
        <f t="shared" si="10"/>
        <v>6</v>
      </c>
      <c r="G73" s="2">
        <f t="shared" si="11"/>
        <v>11</v>
      </c>
      <c r="H73" s="10">
        <f t="shared" si="24"/>
        <v>-1044.0299779600027</v>
      </c>
      <c r="I73" s="11">
        <f t="shared" si="16"/>
        <v>-361.11262332160391</v>
      </c>
      <c r="J73" s="10">
        <f t="shared" si="17"/>
        <v>-682.91735463839882</v>
      </c>
      <c r="K73" s="10">
        <f t="shared" si="18"/>
        <v>143762.13197400316</v>
      </c>
      <c r="L73" s="11">
        <f t="shared" si="21"/>
        <v>-522.5803329813524</v>
      </c>
      <c r="M73" s="11">
        <f t="shared" si="19"/>
        <v>-938.46868272000006</v>
      </c>
      <c r="N73" s="11">
        <f t="shared" si="22"/>
        <v>863.39118810240006</v>
      </c>
      <c r="O73" s="12">
        <f t="shared" si="23"/>
        <v>-1641.6878055589555</v>
      </c>
      <c r="P73" s="10">
        <f t="shared" si="20"/>
        <v>-208178.37538099888</v>
      </c>
      <c r="Q73" s="13">
        <f t="shared" si="25"/>
        <v>265380.03765025001</v>
      </c>
      <c r="R73" s="10"/>
      <c r="S73" s="10"/>
    </row>
    <row r="74" spans="3:19" x14ac:dyDescent="0.25">
      <c r="F74" s="2">
        <f t="shared" si="10"/>
        <v>6</v>
      </c>
      <c r="G74" s="2">
        <f t="shared" si="11"/>
        <v>12</v>
      </c>
      <c r="H74" s="10">
        <f t="shared" si="24"/>
        <v>-1044.0299779600027</v>
      </c>
      <c r="I74" s="11">
        <f t="shared" si="16"/>
        <v>-359.4053299350079</v>
      </c>
      <c r="J74" s="10">
        <f t="shared" si="17"/>
        <v>-684.62464802499483</v>
      </c>
      <c r="K74" s="10">
        <f t="shared" si="18"/>
        <v>143077.50732597816</v>
      </c>
      <c r="L74" s="11">
        <f t="shared" si="21"/>
        <v>-522.5803329813524</v>
      </c>
      <c r="M74" s="11">
        <f t="shared" si="19"/>
        <v>-938.46868272000006</v>
      </c>
      <c r="N74" s="11">
        <f t="shared" si="22"/>
        <v>863.39118810240006</v>
      </c>
      <c r="O74" s="12">
        <f t="shared" si="23"/>
        <v>-1641.6878055589555</v>
      </c>
      <c r="P74" s="10">
        <f t="shared" si="20"/>
        <v>-209820.06318655785</v>
      </c>
      <c r="Q74" s="13">
        <f t="shared" si="25"/>
        <v>265380.03765025001</v>
      </c>
      <c r="R74" s="10"/>
      <c r="S74" s="10"/>
    </row>
    <row r="75" spans="3:19" x14ac:dyDescent="0.25">
      <c r="F75" s="2">
        <f t="shared" si="10"/>
        <v>7</v>
      </c>
      <c r="G75" s="2">
        <f t="shared" si="11"/>
        <v>1</v>
      </c>
      <c r="H75" s="10">
        <f t="shared" si="24"/>
        <v>-1044.0299779600027</v>
      </c>
      <c r="I75" s="11">
        <f t="shared" si="16"/>
        <v>-357.69376831494543</v>
      </c>
      <c r="J75" s="10">
        <f t="shared" si="17"/>
        <v>-686.33620964505735</v>
      </c>
      <c r="K75" s="10">
        <f t="shared" si="18"/>
        <v>142391.17111633311</v>
      </c>
      <c r="L75" s="11">
        <f t="shared" si="21"/>
        <v>-528.03606432722734</v>
      </c>
      <c r="M75" s="11">
        <f t="shared" si="19"/>
        <v>-957.2380563744</v>
      </c>
      <c r="N75" s="11">
        <f t="shared" si="22"/>
        <v>880.65901186444808</v>
      </c>
      <c r="O75" s="12">
        <f t="shared" si="23"/>
        <v>-1648.6450867971821</v>
      </c>
      <c r="P75" s="10">
        <f t="shared" si="20"/>
        <v>-211468.70827335503</v>
      </c>
      <c r="Q75" s="13">
        <f t="shared" si="25"/>
        <v>268033.83802675246</v>
      </c>
      <c r="R75" s="10"/>
      <c r="S75" s="10"/>
    </row>
    <row r="76" spans="3:19" x14ac:dyDescent="0.25">
      <c r="F76" s="2">
        <f t="shared" si="10"/>
        <v>7</v>
      </c>
      <c r="G76" s="2">
        <f t="shared" si="11"/>
        <v>2</v>
      </c>
      <c r="H76" s="10">
        <f t="shared" si="24"/>
        <v>-1044.0299779600027</v>
      </c>
      <c r="I76" s="11">
        <f t="shared" si="16"/>
        <v>-355.97792779083278</v>
      </c>
      <c r="J76" s="10">
        <f t="shared" si="17"/>
        <v>-688.05205016916989</v>
      </c>
      <c r="K76" s="10">
        <f t="shared" si="18"/>
        <v>141703.11906616393</v>
      </c>
      <c r="L76" s="11">
        <f t="shared" si="21"/>
        <v>-528.03606432722734</v>
      </c>
      <c r="M76" s="11">
        <f t="shared" si="19"/>
        <v>-957.2380563744</v>
      </c>
      <c r="N76" s="11">
        <f t="shared" si="22"/>
        <v>880.65901186444808</v>
      </c>
      <c r="O76" s="12">
        <f t="shared" si="23"/>
        <v>-1648.6450867971821</v>
      </c>
      <c r="P76" s="10">
        <f t="shared" si="20"/>
        <v>-213117.35336015222</v>
      </c>
      <c r="Q76" s="13">
        <f t="shared" si="25"/>
        <v>268033.83802675246</v>
      </c>
      <c r="R76" s="10"/>
      <c r="S76" s="10"/>
    </row>
    <row r="77" spans="3:19" x14ac:dyDescent="0.25">
      <c r="F77" s="2">
        <f t="shared" si="10"/>
        <v>7</v>
      </c>
      <c r="G77" s="2">
        <f t="shared" si="11"/>
        <v>3</v>
      </c>
      <c r="H77" s="10">
        <f t="shared" si="24"/>
        <v>-1044.0299779600027</v>
      </c>
      <c r="I77" s="11">
        <f t="shared" si="16"/>
        <v>-354.25779766540984</v>
      </c>
      <c r="J77" s="10">
        <f t="shared" si="17"/>
        <v>-689.77218029459289</v>
      </c>
      <c r="K77" s="10">
        <f t="shared" si="18"/>
        <v>141013.34688586934</v>
      </c>
      <c r="L77" s="11">
        <f t="shared" si="21"/>
        <v>-528.03606432722734</v>
      </c>
      <c r="M77" s="11">
        <f t="shared" si="19"/>
        <v>-957.2380563744</v>
      </c>
      <c r="N77" s="11">
        <f t="shared" si="22"/>
        <v>880.65901186444808</v>
      </c>
      <c r="O77" s="12">
        <f t="shared" si="23"/>
        <v>-1648.6450867971821</v>
      </c>
      <c r="P77" s="10">
        <f t="shared" si="20"/>
        <v>-214765.99844694941</v>
      </c>
      <c r="Q77" s="13">
        <f t="shared" si="25"/>
        <v>268033.83802675246</v>
      </c>
      <c r="R77" s="10"/>
      <c r="S77" s="10"/>
    </row>
    <row r="78" spans="3:19" x14ac:dyDescent="0.25">
      <c r="F78" s="2">
        <f t="shared" si="10"/>
        <v>7</v>
      </c>
      <c r="G78" s="2">
        <f t="shared" si="11"/>
        <v>4</v>
      </c>
      <c r="H78" s="10">
        <f t="shared" si="24"/>
        <v>-1044.0299779600027</v>
      </c>
      <c r="I78" s="11">
        <f t="shared" si="16"/>
        <v>-352.53336721467338</v>
      </c>
      <c r="J78" s="10">
        <f t="shared" si="17"/>
        <v>-691.49661074532935</v>
      </c>
      <c r="K78" s="10">
        <f t="shared" si="18"/>
        <v>140321.85027512402</v>
      </c>
      <c r="L78" s="11">
        <f t="shared" si="21"/>
        <v>-528.03606432722734</v>
      </c>
      <c r="M78" s="11">
        <f t="shared" si="19"/>
        <v>-957.2380563744</v>
      </c>
      <c r="N78" s="11">
        <f t="shared" si="22"/>
        <v>880.65901186444808</v>
      </c>
      <c r="O78" s="12">
        <f t="shared" si="23"/>
        <v>-1648.6450867971821</v>
      </c>
      <c r="P78" s="10">
        <f t="shared" si="20"/>
        <v>-216414.6435337466</v>
      </c>
      <c r="Q78" s="13">
        <f t="shared" si="25"/>
        <v>268033.83802675246</v>
      </c>
      <c r="R78" s="10"/>
      <c r="S78" s="10"/>
    </row>
    <row r="79" spans="3:19" x14ac:dyDescent="0.25">
      <c r="F79" s="2">
        <f t="shared" si="10"/>
        <v>7</v>
      </c>
      <c r="G79" s="2">
        <f t="shared" si="11"/>
        <v>5</v>
      </c>
      <c r="H79" s="10">
        <f t="shared" si="24"/>
        <v>-1044.0299779600027</v>
      </c>
      <c r="I79" s="11">
        <f t="shared" si="16"/>
        <v>-350.80462568781007</v>
      </c>
      <c r="J79" s="10">
        <f t="shared" si="17"/>
        <v>-693.22535227219259</v>
      </c>
      <c r="K79" s="10">
        <f t="shared" si="18"/>
        <v>139628.62492285183</v>
      </c>
      <c r="L79" s="11">
        <f t="shared" si="21"/>
        <v>-528.03606432722734</v>
      </c>
      <c r="M79" s="11">
        <f t="shared" si="19"/>
        <v>-957.2380563744</v>
      </c>
      <c r="N79" s="11">
        <f t="shared" si="22"/>
        <v>880.65901186444808</v>
      </c>
      <c r="O79" s="12">
        <f t="shared" si="23"/>
        <v>-1648.6450867971821</v>
      </c>
      <c r="P79" s="10">
        <f t="shared" si="20"/>
        <v>-218063.28862054378</v>
      </c>
      <c r="Q79" s="13">
        <f t="shared" si="25"/>
        <v>268033.83802675246</v>
      </c>
      <c r="R79" s="10"/>
      <c r="S79" s="10"/>
    </row>
    <row r="80" spans="3:19" x14ac:dyDescent="0.25">
      <c r="F80" s="2">
        <f t="shared" si="10"/>
        <v>7</v>
      </c>
      <c r="G80" s="2">
        <f t="shared" si="11"/>
        <v>6</v>
      </c>
      <c r="H80" s="10">
        <f t="shared" si="24"/>
        <v>-1044.0299779600027</v>
      </c>
      <c r="I80" s="11">
        <f t="shared" si="16"/>
        <v>-349.07156230712957</v>
      </c>
      <c r="J80" s="10">
        <f t="shared" si="17"/>
        <v>-694.9584156528731</v>
      </c>
      <c r="K80" s="10">
        <f t="shared" si="18"/>
        <v>138933.66650719894</v>
      </c>
      <c r="L80" s="11">
        <f t="shared" si="21"/>
        <v>-528.03606432722734</v>
      </c>
      <c r="M80" s="11">
        <f t="shared" si="19"/>
        <v>-957.2380563744</v>
      </c>
      <c r="N80" s="11">
        <f t="shared" si="22"/>
        <v>880.65901186444808</v>
      </c>
      <c r="O80" s="12">
        <f t="shared" si="23"/>
        <v>-1648.6450867971821</v>
      </c>
      <c r="P80" s="10">
        <f t="shared" si="20"/>
        <v>-219711.93370734097</v>
      </c>
      <c r="Q80" s="13">
        <f t="shared" si="25"/>
        <v>268033.83802675246</v>
      </c>
      <c r="R80" s="10"/>
      <c r="S80" s="10"/>
    </row>
    <row r="81" spans="6:19" x14ac:dyDescent="0.25">
      <c r="F81" s="2">
        <f t="shared" ref="F81:F122" si="26">F69+1</f>
        <v>7</v>
      </c>
      <c r="G81" s="2">
        <f t="shared" ref="G81:G122" si="27">G69</f>
        <v>7</v>
      </c>
      <c r="H81" s="10">
        <f t="shared" si="24"/>
        <v>-1044.0299779600027</v>
      </c>
      <c r="I81" s="11">
        <f t="shared" si="16"/>
        <v>-347.33416626799738</v>
      </c>
      <c r="J81" s="10">
        <f t="shared" si="17"/>
        <v>-696.69581169200535</v>
      </c>
      <c r="K81" s="10">
        <f t="shared" si="18"/>
        <v>138236.97069550693</v>
      </c>
      <c r="L81" s="11">
        <f t="shared" si="21"/>
        <v>-528.03606432722734</v>
      </c>
      <c r="M81" s="11">
        <f t="shared" si="19"/>
        <v>-957.2380563744</v>
      </c>
      <c r="N81" s="11">
        <f t="shared" si="22"/>
        <v>880.65901186444808</v>
      </c>
      <c r="O81" s="12">
        <f t="shared" si="23"/>
        <v>-1648.6450867971821</v>
      </c>
      <c r="P81" s="10">
        <f t="shared" si="20"/>
        <v>-221360.57879413816</v>
      </c>
      <c r="Q81" s="13">
        <f t="shared" si="25"/>
        <v>268033.83802675246</v>
      </c>
      <c r="R81" s="10"/>
      <c r="S81" s="10"/>
    </row>
    <row r="82" spans="6:19" x14ac:dyDescent="0.25">
      <c r="F82" s="2">
        <f t="shared" si="26"/>
        <v>7</v>
      </c>
      <c r="G82" s="2">
        <f t="shared" si="27"/>
        <v>8</v>
      </c>
      <c r="H82" s="10">
        <f t="shared" si="24"/>
        <v>-1044.0299779600027</v>
      </c>
      <c r="I82" s="11">
        <f t="shared" si="16"/>
        <v>-345.5924267387673</v>
      </c>
      <c r="J82" s="10">
        <f t="shared" si="17"/>
        <v>-698.43755122123548</v>
      </c>
      <c r="K82" s="10">
        <f t="shared" si="18"/>
        <v>137538.5331442857</v>
      </c>
      <c r="L82" s="11">
        <f t="shared" si="21"/>
        <v>-528.03606432722734</v>
      </c>
      <c r="M82" s="11">
        <f t="shared" si="19"/>
        <v>-957.2380563744</v>
      </c>
      <c r="N82" s="11">
        <f t="shared" si="22"/>
        <v>880.65901186444808</v>
      </c>
      <c r="O82" s="12">
        <f t="shared" si="23"/>
        <v>-1648.6450867971821</v>
      </c>
      <c r="P82" s="10">
        <f t="shared" si="20"/>
        <v>-223009.22388093534</v>
      </c>
      <c r="Q82" s="13">
        <f t="shared" si="25"/>
        <v>268033.83802675246</v>
      </c>
      <c r="R82" s="10"/>
      <c r="S82" s="10"/>
    </row>
    <row r="83" spans="6:19" x14ac:dyDescent="0.25">
      <c r="F83" s="2">
        <f t="shared" si="26"/>
        <v>7</v>
      </c>
      <c r="G83" s="2">
        <f t="shared" si="27"/>
        <v>9</v>
      </c>
      <c r="H83" s="10">
        <f t="shared" si="24"/>
        <v>-1044.0299779600027</v>
      </c>
      <c r="I83" s="11">
        <f t="shared" si="16"/>
        <v>-343.84633286071426</v>
      </c>
      <c r="J83" s="10">
        <f t="shared" si="17"/>
        <v>-700.18364509928847</v>
      </c>
      <c r="K83" s="10">
        <f t="shared" si="18"/>
        <v>136838.34949918641</v>
      </c>
      <c r="L83" s="11">
        <f t="shared" si="21"/>
        <v>-528.03606432722734</v>
      </c>
      <c r="M83" s="11">
        <f t="shared" si="19"/>
        <v>-957.2380563744</v>
      </c>
      <c r="N83" s="11">
        <f t="shared" si="22"/>
        <v>880.65901186444808</v>
      </c>
      <c r="O83" s="12">
        <f t="shared" si="23"/>
        <v>-1648.6450867971821</v>
      </c>
      <c r="P83" s="10">
        <f t="shared" si="20"/>
        <v>-224657.86896773253</v>
      </c>
      <c r="Q83" s="13">
        <f t="shared" si="25"/>
        <v>268033.83802675246</v>
      </c>
      <c r="R83" s="10"/>
      <c r="S83" s="10"/>
    </row>
    <row r="84" spans="6:19" x14ac:dyDescent="0.25">
      <c r="F84" s="2">
        <f t="shared" si="26"/>
        <v>7</v>
      </c>
      <c r="G84" s="2">
        <f t="shared" si="27"/>
        <v>10</v>
      </c>
      <c r="H84" s="10">
        <f t="shared" si="24"/>
        <v>-1044.0299779600027</v>
      </c>
      <c r="I84" s="11">
        <f t="shared" si="16"/>
        <v>-342.09587374796604</v>
      </c>
      <c r="J84" s="10">
        <f t="shared" si="17"/>
        <v>-701.93410421203669</v>
      </c>
      <c r="K84" s="10">
        <f t="shared" si="18"/>
        <v>136136.41539497438</v>
      </c>
      <c r="L84" s="11">
        <f t="shared" si="21"/>
        <v>-528.03606432722734</v>
      </c>
      <c r="M84" s="11">
        <f t="shared" si="19"/>
        <v>-957.2380563744</v>
      </c>
      <c r="N84" s="11">
        <f t="shared" si="22"/>
        <v>880.65901186444808</v>
      </c>
      <c r="O84" s="12">
        <f t="shared" si="23"/>
        <v>-1648.6450867971821</v>
      </c>
      <c r="P84" s="10">
        <f t="shared" si="20"/>
        <v>-226306.51405452972</v>
      </c>
      <c r="Q84" s="13">
        <f t="shared" si="25"/>
        <v>268033.83802675246</v>
      </c>
      <c r="R84" s="10"/>
      <c r="S84" s="10"/>
    </row>
    <row r="85" spans="6:19" x14ac:dyDescent="0.25">
      <c r="F85" s="2">
        <f t="shared" si="26"/>
        <v>7</v>
      </c>
      <c r="G85" s="2">
        <f t="shared" si="27"/>
        <v>11</v>
      </c>
      <c r="H85" s="10">
        <f t="shared" si="24"/>
        <v>-1044.0299779600027</v>
      </c>
      <c r="I85" s="11">
        <f t="shared" si="16"/>
        <v>-340.34103848743592</v>
      </c>
      <c r="J85" s="10">
        <f t="shared" si="17"/>
        <v>-703.68893947256674</v>
      </c>
      <c r="K85" s="10">
        <f t="shared" si="18"/>
        <v>135432.7264555018</v>
      </c>
      <c r="L85" s="11">
        <f t="shared" si="21"/>
        <v>-528.03606432722734</v>
      </c>
      <c r="M85" s="11">
        <f t="shared" si="19"/>
        <v>-957.2380563744</v>
      </c>
      <c r="N85" s="11">
        <f t="shared" si="22"/>
        <v>880.65901186444808</v>
      </c>
      <c r="O85" s="12">
        <f t="shared" si="23"/>
        <v>-1648.6450867971821</v>
      </c>
      <c r="P85" s="10">
        <f t="shared" si="20"/>
        <v>-227955.15914132691</v>
      </c>
      <c r="Q85" s="13">
        <f t="shared" si="25"/>
        <v>268033.83802675246</v>
      </c>
      <c r="R85" s="10"/>
      <c r="S85" s="10"/>
    </row>
    <row r="86" spans="6:19" x14ac:dyDescent="0.25">
      <c r="F86" s="2">
        <f t="shared" si="26"/>
        <v>7</v>
      </c>
      <c r="G86" s="2">
        <f t="shared" si="27"/>
        <v>12</v>
      </c>
      <c r="H86" s="10">
        <f t="shared" si="24"/>
        <v>-1044.0299779600027</v>
      </c>
      <c r="I86" s="11">
        <f t="shared" si="16"/>
        <v>-338.5818161387545</v>
      </c>
      <c r="J86" s="10">
        <f t="shared" si="17"/>
        <v>-705.44816182124828</v>
      </c>
      <c r="K86" s="10">
        <f t="shared" si="18"/>
        <v>134727.27829368055</v>
      </c>
      <c r="L86" s="11">
        <f t="shared" si="21"/>
        <v>-528.03606432722734</v>
      </c>
      <c r="M86" s="11">
        <f t="shared" si="19"/>
        <v>-957.2380563744</v>
      </c>
      <c r="N86" s="11">
        <f t="shared" si="22"/>
        <v>880.65901186444808</v>
      </c>
      <c r="O86" s="12">
        <f t="shared" si="23"/>
        <v>-1648.6450867971821</v>
      </c>
      <c r="P86" s="10">
        <f t="shared" si="20"/>
        <v>-229603.80422812409</v>
      </c>
      <c r="Q86" s="13">
        <f t="shared" si="25"/>
        <v>268033.83802675246</v>
      </c>
      <c r="R86" s="10"/>
      <c r="S86" s="10"/>
    </row>
    <row r="87" spans="6:19" x14ac:dyDescent="0.25">
      <c r="F87" s="2">
        <f t="shared" si="26"/>
        <v>8</v>
      </c>
      <c r="G87" s="2">
        <f t="shared" si="27"/>
        <v>1</v>
      </c>
      <c r="H87" s="10">
        <f t="shared" si="24"/>
        <v>-1044.0299779600027</v>
      </c>
      <c r="I87" s="11">
        <f t="shared" si="16"/>
        <v>-336.81819573420137</v>
      </c>
      <c r="J87" s="10">
        <f t="shared" si="17"/>
        <v>-707.21178222580136</v>
      </c>
      <c r="K87" s="10">
        <f t="shared" si="18"/>
        <v>134020.06651145473</v>
      </c>
      <c r="L87" s="11">
        <f t="shared" si="21"/>
        <v>-533.57879529688228</v>
      </c>
      <c r="M87" s="11">
        <f t="shared" si="19"/>
        <v>-976.38281750188787</v>
      </c>
      <c r="N87" s="11">
        <f t="shared" si="22"/>
        <v>898.27219210173689</v>
      </c>
      <c r="O87" s="12">
        <f t="shared" si="23"/>
        <v>-1655.719398657036</v>
      </c>
      <c r="P87" s="10">
        <f t="shared" si="20"/>
        <v>-231259.52362678113</v>
      </c>
      <c r="Q87" s="13">
        <f t="shared" si="25"/>
        <v>270714.17640702007</v>
      </c>
      <c r="R87" s="10"/>
      <c r="S87" s="10"/>
    </row>
    <row r="88" spans="6:19" x14ac:dyDescent="0.25">
      <c r="F88" s="2">
        <f t="shared" si="26"/>
        <v>8</v>
      </c>
      <c r="G88" s="2">
        <f t="shared" si="27"/>
        <v>2</v>
      </c>
      <c r="H88" s="10">
        <f t="shared" si="24"/>
        <v>-1044.0299779600027</v>
      </c>
      <c r="I88" s="11">
        <f t="shared" si="16"/>
        <v>-335.05016627863682</v>
      </c>
      <c r="J88" s="10">
        <f t="shared" si="17"/>
        <v>-708.97981168136585</v>
      </c>
      <c r="K88" s="10">
        <f t="shared" si="18"/>
        <v>133311.08669977335</v>
      </c>
      <c r="L88" s="11">
        <f t="shared" si="21"/>
        <v>-533.57879529688228</v>
      </c>
      <c r="M88" s="11">
        <f t="shared" si="19"/>
        <v>-976.38281750188787</v>
      </c>
      <c r="N88" s="11">
        <f t="shared" si="22"/>
        <v>898.27219210173689</v>
      </c>
      <c r="O88" s="12">
        <f t="shared" si="23"/>
        <v>-1655.719398657036</v>
      </c>
      <c r="P88" s="10">
        <f t="shared" si="20"/>
        <v>-232915.24302543816</v>
      </c>
      <c r="Q88" s="13">
        <f t="shared" si="25"/>
        <v>270714.17640702007</v>
      </c>
      <c r="R88" s="10"/>
      <c r="S88" s="10"/>
    </row>
    <row r="89" spans="6:19" x14ac:dyDescent="0.25">
      <c r="F89" s="2">
        <f t="shared" si="26"/>
        <v>8</v>
      </c>
      <c r="G89" s="2">
        <f t="shared" si="27"/>
        <v>3</v>
      </c>
      <c r="H89" s="10">
        <f t="shared" si="24"/>
        <v>-1044.0299779600027</v>
      </c>
      <c r="I89" s="11">
        <f t="shared" si="16"/>
        <v>-333.27771674943341</v>
      </c>
      <c r="J89" s="10">
        <f t="shared" si="17"/>
        <v>-710.75226121056926</v>
      </c>
      <c r="K89" s="10">
        <f t="shared" si="18"/>
        <v>132600.33443856277</v>
      </c>
      <c r="L89" s="11">
        <f t="shared" si="21"/>
        <v>-533.57879529688228</v>
      </c>
      <c r="M89" s="11">
        <f t="shared" si="19"/>
        <v>-976.38281750188787</v>
      </c>
      <c r="N89" s="11">
        <f t="shared" si="22"/>
        <v>898.27219210173689</v>
      </c>
      <c r="O89" s="12">
        <f t="shared" si="23"/>
        <v>-1655.719398657036</v>
      </c>
      <c r="P89" s="10">
        <f t="shared" si="20"/>
        <v>-234570.9624240952</v>
      </c>
      <c r="Q89" s="13">
        <f t="shared" si="25"/>
        <v>270714.17640702007</v>
      </c>
      <c r="R89" s="10"/>
      <c r="S89" s="10"/>
    </row>
    <row r="90" spans="6:19" x14ac:dyDescent="0.25">
      <c r="F90" s="2">
        <f t="shared" si="26"/>
        <v>8</v>
      </c>
      <c r="G90" s="2">
        <f t="shared" si="27"/>
        <v>4</v>
      </c>
      <c r="H90" s="10">
        <f t="shared" si="24"/>
        <v>-1044.0299779600027</v>
      </c>
      <c r="I90" s="11">
        <f t="shared" si="16"/>
        <v>-331.50083609640694</v>
      </c>
      <c r="J90" s="10">
        <f t="shared" si="17"/>
        <v>-712.52914186359578</v>
      </c>
      <c r="K90" s="10">
        <f t="shared" si="18"/>
        <v>131887.80529669917</v>
      </c>
      <c r="L90" s="11">
        <f t="shared" si="21"/>
        <v>-533.57879529688228</v>
      </c>
      <c r="M90" s="11">
        <f t="shared" si="19"/>
        <v>-976.38281750188787</v>
      </c>
      <c r="N90" s="11">
        <f t="shared" si="22"/>
        <v>898.27219210173689</v>
      </c>
      <c r="O90" s="12">
        <f t="shared" si="23"/>
        <v>-1655.719398657036</v>
      </c>
      <c r="P90" s="10">
        <f t="shared" si="20"/>
        <v>-236226.68182275223</v>
      </c>
      <c r="Q90" s="13">
        <f t="shared" si="25"/>
        <v>270714.17640702007</v>
      </c>
      <c r="R90" s="10"/>
      <c r="S90" s="10"/>
    </row>
    <row r="91" spans="6:19" x14ac:dyDescent="0.25">
      <c r="F91" s="2">
        <f t="shared" si="26"/>
        <v>8</v>
      </c>
      <c r="G91" s="2">
        <f t="shared" si="27"/>
        <v>5</v>
      </c>
      <c r="H91" s="10">
        <f t="shared" si="24"/>
        <v>-1044.0299779600027</v>
      </c>
      <c r="I91" s="11">
        <f t="shared" si="16"/>
        <v>-329.7195132417479</v>
      </c>
      <c r="J91" s="10">
        <f t="shared" si="17"/>
        <v>-714.31046471825482</v>
      </c>
      <c r="K91" s="10">
        <f t="shared" si="18"/>
        <v>131173.4948319809</v>
      </c>
      <c r="L91" s="11">
        <f t="shared" si="21"/>
        <v>-533.57879529688228</v>
      </c>
      <c r="M91" s="11">
        <f t="shared" si="19"/>
        <v>-976.38281750188787</v>
      </c>
      <c r="N91" s="11">
        <f t="shared" si="22"/>
        <v>898.27219210173689</v>
      </c>
      <c r="O91" s="12">
        <f t="shared" si="23"/>
        <v>-1655.719398657036</v>
      </c>
      <c r="P91" s="10">
        <f t="shared" si="20"/>
        <v>-237882.40122140927</v>
      </c>
      <c r="Q91" s="13">
        <f t="shared" si="25"/>
        <v>270714.17640702007</v>
      </c>
      <c r="R91" s="10"/>
      <c r="S91" s="10"/>
    </row>
    <row r="92" spans="6:19" x14ac:dyDescent="0.25">
      <c r="F92" s="2">
        <f t="shared" si="26"/>
        <v>8</v>
      </c>
      <c r="G92" s="2">
        <f t="shared" si="27"/>
        <v>6</v>
      </c>
      <c r="H92" s="10">
        <f t="shared" si="24"/>
        <v>-1044.0299779600027</v>
      </c>
      <c r="I92" s="11">
        <f t="shared" si="16"/>
        <v>-327.93373707995227</v>
      </c>
      <c r="J92" s="10">
        <f t="shared" si="17"/>
        <v>-716.09624088005046</v>
      </c>
      <c r="K92" s="10">
        <f t="shared" si="18"/>
        <v>130457.39859110085</v>
      </c>
      <c r="L92" s="11">
        <f t="shared" si="21"/>
        <v>-533.57879529688228</v>
      </c>
      <c r="M92" s="11">
        <f t="shared" si="19"/>
        <v>-976.38281750188787</v>
      </c>
      <c r="N92" s="11">
        <f t="shared" si="22"/>
        <v>898.27219210173689</v>
      </c>
      <c r="O92" s="12">
        <f t="shared" si="23"/>
        <v>-1655.719398657036</v>
      </c>
      <c r="P92" s="10">
        <f t="shared" si="20"/>
        <v>-239538.1206200663</v>
      </c>
      <c r="Q92" s="13">
        <f t="shared" si="25"/>
        <v>270714.17640702007</v>
      </c>
      <c r="R92" s="10"/>
      <c r="S92" s="10"/>
    </row>
    <row r="93" spans="6:19" x14ac:dyDescent="0.25">
      <c r="F93" s="2">
        <f t="shared" si="26"/>
        <v>8</v>
      </c>
      <c r="G93" s="2">
        <f t="shared" si="27"/>
        <v>7</v>
      </c>
      <c r="H93" s="10">
        <f t="shared" si="24"/>
        <v>-1044.0299779600027</v>
      </c>
      <c r="I93" s="11">
        <f t="shared" si="16"/>
        <v>-326.14349647775214</v>
      </c>
      <c r="J93" s="10">
        <f t="shared" si="17"/>
        <v>-717.88648148225059</v>
      </c>
      <c r="K93" s="10">
        <f t="shared" si="18"/>
        <v>129739.5121096186</v>
      </c>
      <c r="L93" s="11">
        <f t="shared" si="21"/>
        <v>-533.57879529688228</v>
      </c>
      <c r="M93" s="11">
        <f t="shared" si="19"/>
        <v>-976.38281750188787</v>
      </c>
      <c r="N93" s="11">
        <f t="shared" si="22"/>
        <v>898.27219210173689</v>
      </c>
      <c r="O93" s="12">
        <f t="shared" si="23"/>
        <v>-1655.719398657036</v>
      </c>
      <c r="P93" s="10">
        <f t="shared" si="20"/>
        <v>-241193.84001872333</v>
      </c>
      <c r="Q93" s="13">
        <f t="shared" si="25"/>
        <v>270714.17640702007</v>
      </c>
      <c r="R93" s="10"/>
      <c r="S93" s="10"/>
    </row>
    <row r="94" spans="6:19" x14ac:dyDescent="0.25">
      <c r="F94" s="2">
        <f t="shared" si="26"/>
        <v>8</v>
      </c>
      <c r="G94" s="2">
        <f t="shared" si="27"/>
        <v>8</v>
      </c>
      <c r="H94" s="10">
        <f t="shared" si="24"/>
        <v>-1044.0299779600027</v>
      </c>
      <c r="I94" s="11">
        <f t="shared" si="16"/>
        <v>-324.34878027404653</v>
      </c>
      <c r="J94" s="10">
        <f t="shared" si="17"/>
        <v>-719.68119768595625</v>
      </c>
      <c r="K94" s="10">
        <f t="shared" si="18"/>
        <v>129019.83091193264</v>
      </c>
      <c r="L94" s="11">
        <f t="shared" si="21"/>
        <v>-533.57879529688228</v>
      </c>
      <c r="M94" s="11">
        <f t="shared" si="19"/>
        <v>-976.38281750188787</v>
      </c>
      <c r="N94" s="11">
        <f t="shared" si="22"/>
        <v>898.27219210173689</v>
      </c>
      <c r="O94" s="12">
        <f t="shared" si="23"/>
        <v>-1655.719398657036</v>
      </c>
      <c r="P94" s="10">
        <f t="shared" si="20"/>
        <v>-242849.55941738037</v>
      </c>
      <c r="Q94" s="13">
        <f t="shared" si="25"/>
        <v>270714.17640702007</v>
      </c>
      <c r="R94" s="10"/>
      <c r="S94" s="10"/>
    </row>
    <row r="95" spans="6:19" x14ac:dyDescent="0.25">
      <c r="F95" s="2">
        <f t="shared" si="26"/>
        <v>8</v>
      </c>
      <c r="G95" s="2">
        <f t="shared" si="27"/>
        <v>9</v>
      </c>
      <c r="H95" s="10">
        <f t="shared" si="24"/>
        <v>-1044.0299779600027</v>
      </c>
      <c r="I95" s="11">
        <f t="shared" si="16"/>
        <v>-322.54957727983162</v>
      </c>
      <c r="J95" s="10">
        <f t="shared" si="17"/>
        <v>-721.4804006801711</v>
      </c>
      <c r="K95" s="10">
        <f t="shared" si="18"/>
        <v>128298.35051125247</v>
      </c>
      <c r="L95" s="11">
        <f t="shared" si="21"/>
        <v>-533.57879529688228</v>
      </c>
      <c r="M95" s="11">
        <f t="shared" ref="M95:M122" si="28">-$C$35*(1+$C$36)^($F95-1)</f>
        <v>-976.38281750188787</v>
      </c>
      <c r="N95" s="11">
        <f t="shared" si="22"/>
        <v>898.27219210173689</v>
      </c>
      <c r="O95" s="12">
        <f t="shared" si="23"/>
        <v>-1655.719398657036</v>
      </c>
      <c r="P95" s="10">
        <f t="shared" si="20"/>
        <v>-244505.2788160374</v>
      </c>
      <c r="Q95" s="13">
        <f t="shared" si="25"/>
        <v>270714.17640702007</v>
      </c>
      <c r="R95" s="10"/>
      <c r="S95" s="10"/>
    </row>
    <row r="96" spans="6:19" x14ac:dyDescent="0.25">
      <c r="F96" s="2">
        <f t="shared" si="26"/>
        <v>8</v>
      </c>
      <c r="G96" s="2">
        <f t="shared" si="27"/>
        <v>10</v>
      </c>
      <c r="H96" s="10">
        <f t="shared" si="24"/>
        <v>-1044.0299779600027</v>
      </c>
      <c r="I96" s="11">
        <f t="shared" si="16"/>
        <v>-320.74587627813116</v>
      </c>
      <c r="J96" s="10">
        <f t="shared" si="17"/>
        <v>-723.28410168187156</v>
      </c>
      <c r="K96" s="10">
        <f t="shared" si="18"/>
        <v>127575.0664095706</v>
      </c>
      <c r="L96" s="11">
        <f t="shared" si="21"/>
        <v>-533.57879529688228</v>
      </c>
      <c r="M96" s="11">
        <f t="shared" si="28"/>
        <v>-976.38281750188787</v>
      </c>
      <c r="N96" s="11">
        <f t="shared" si="22"/>
        <v>898.27219210173689</v>
      </c>
      <c r="O96" s="12">
        <f t="shared" si="23"/>
        <v>-1655.719398657036</v>
      </c>
      <c r="P96" s="10">
        <f t="shared" si="20"/>
        <v>-246160.99821469444</v>
      </c>
      <c r="Q96" s="13">
        <f t="shared" si="25"/>
        <v>270714.17640702007</v>
      </c>
      <c r="R96" s="10"/>
      <c r="S96" s="10"/>
    </row>
    <row r="97" spans="6:19" x14ac:dyDescent="0.25">
      <c r="F97" s="2">
        <f t="shared" si="26"/>
        <v>8</v>
      </c>
      <c r="G97" s="2">
        <f t="shared" si="27"/>
        <v>11</v>
      </c>
      <c r="H97" s="10">
        <f t="shared" si="24"/>
        <v>-1044.0299779600027</v>
      </c>
      <c r="I97" s="11">
        <f t="shared" si="16"/>
        <v>-318.93766602392651</v>
      </c>
      <c r="J97" s="10">
        <f t="shared" si="17"/>
        <v>-725.09231193607616</v>
      </c>
      <c r="K97" s="10">
        <f t="shared" si="18"/>
        <v>126849.97409763452</v>
      </c>
      <c r="L97" s="11">
        <f t="shared" si="21"/>
        <v>-533.57879529688228</v>
      </c>
      <c r="M97" s="11">
        <f t="shared" si="28"/>
        <v>-976.38281750188787</v>
      </c>
      <c r="N97" s="11">
        <f t="shared" si="22"/>
        <v>898.27219210173689</v>
      </c>
      <c r="O97" s="12">
        <f t="shared" si="23"/>
        <v>-1655.719398657036</v>
      </c>
      <c r="P97" s="10">
        <f t="shared" si="20"/>
        <v>-247816.71761335147</v>
      </c>
      <c r="Q97" s="13">
        <f t="shared" si="25"/>
        <v>270714.17640702007</v>
      </c>
      <c r="R97" s="10"/>
      <c r="S97" s="10"/>
    </row>
    <row r="98" spans="6:19" x14ac:dyDescent="0.25">
      <c r="F98" s="2">
        <f t="shared" si="26"/>
        <v>8</v>
      </c>
      <c r="G98" s="2">
        <f t="shared" si="27"/>
        <v>12</v>
      </c>
      <c r="H98" s="10">
        <f t="shared" si="24"/>
        <v>-1044.0299779600027</v>
      </c>
      <c r="I98" s="11">
        <f t="shared" si="16"/>
        <v>-317.12493524408632</v>
      </c>
      <c r="J98" s="10">
        <f t="shared" si="17"/>
        <v>-726.90504271591635</v>
      </c>
      <c r="K98" s="10">
        <f t="shared" si="18"/>
        <v>126123.0690549186</v>
      </c>
      <c r="L98" s="11">
        <f t="shared" si="21"/>
        <v>-533.57879529688228</v>
      </c>
      <c r="M98" s="11">
        <f t="shared" si="28"/>
        <v>-976.38281750188787</v>
      </c>
      <c r="N98" s="11">
        <f t="shared" si="22"/>
        <v>898.27219210173689</v>
      </c>
      <c r="O98" s="12">
        <f t="shared" si="23"/>
        <v>-1655.719398657036</v>
      </c>
      <c r="P98" s="10">
        <f t="shared" si="20"/>
        <v>-249472.43701200851</v>
      </c>
      <c r="Q98" s="13">
        <f t="shared" si="25"/>
        <v>270714.17640702007</v>
      </c>
      <c r="R98" s="10"/>
      <c r="S98" s="10"/>
    </row>
    <row r="99" spans="6:19" x14ac:dyDescent="0.25">
      <c r="F99" s="2">
        <f t="shared" si="26"/>
        <v>9</v>
      </c>
      <c r="G99" s="2">
        <f t="shared" si="27"/>
        <v>1</v>
      </c>
      <c r="H99" s="10">
        <f t="shared" si="24"/>
        <v>-1044.0299779600027</v>
      </c>
      <c r="I99" s="11">
        <f t="shared" si="16"/>
        <v>-315.30767263729649</v>
      </c>
      <c r="J99" s="10">
        <f t="shared" si="17"/>
        <v>-728.72230532270623</v>
      </c>
      <c r="K99" s="10">
        <f t="shared" si="18"/>
        <v>125394.34674959589</v>
      </c>
      <c r="L99" s="11">
        <f t="shared" si="21"/>
        <v>-539.21004473276139</v>
      </c>
      <c r="M99" s="11">
        <f t="shared" si="28"/>
        <v>-995.91047385192564</v>
      </c>
      <c r="N99" s="11">
        <f t="shared" si="22"/>
        <v>916.23763594377158</v>
      </c>
      <c r="O99" s="12">
        <f t="shared" si="23"/>
        <v>-1662.9128606009181</v>
      </c>
      <c r="P99" s="10">
        <f t="shared" si="20"/>
        <v>-251135.34987260943</v>
      </c>
      <c r="Q99" s="13">
        <f t="shared" si="25"/>
        <v>273421.31817109027</v>
      </c>
      <c r="R99" s="10"/>
      <c r="S99" s="10"/>
    </row>
    <row r="100" spans="6:19" x14ac:dyDescent="0.25">
      <c r="F100" s="2">
        <f t="shared" si="26"/>
        <v>9</v>
      </c>
      <c r="G100" s="2">
        <f t="shared" si="27"/>
        <v>2</v>
      </c>
      <c r="H100" s="10">
        <f t="shared" si="24"/>
        <v>-1044.0299779600027</v>
      </c>
      <c r="I100" s="11">
        <f t="shared" si="16"/>
        <v>-313.48586687398972</v>
      </c>
      <c r="J100" s="10">
        <f t="shared" si="17"/>
        <v>-730.544111086013</v>
      </c>
      <c r="K100" s="10">
        <f t="shared" si="18"/>
        <v>124663.80263850988</v>
      </c>
      <c r="L100" s="11">
        <f t="shared" si="21"/>
        <v>-539.21004473276139</v>
      </c>
      <c r="M100" s="11">
        <f t="shared" si="28"/>
        <v>-995.91047385192564</v>
      </c>
      <c r="N100" s="11">
        <f t="shared" si="22"/>
        <v>916.23763594377158</v>
      </c>
      <c r="O100" s="12">
        <f t="shared" si="23"/>
        <v>-1662.9128606009181</v>
      </c>
      <c r="P100" s="10">
        <f t="shared" si="20"/>
        <v>-252798.26273321034</v>
      </c>
      <c r="Q100" s="13">
        <f t="shared" si="25"/>
        <v>273421.31817109027</v>
      </c>
      <c r="R100" s="10"/>
      <c r="S100" s="10"/>
    </row>
    <row r="101" spans="6:19" x14ac:dyDescent="0.25">
      <c r="F101" s="2">
        <f t="shared" si="26"/>
        <v>9</v>
      </c>
      <c r="G101" s="2">
        <f t="shared" si="27"/>
        <v>3</v>
      </c>
      <c r="H101" s="10">
        <f t="shared" si="24"/>
        <v>-1044.0299779600027</v>
      </c>
      <c r="I101" s="11">
        <f t="shared" si="16"/>
        <v>-311.6595065962747</v>
      </c>
      <c r="J101" s="10">
        <f t="shared" si="17"/>
        <v>-732.37047136372803</v>
      </c>
      <c r="K101" s="10">
        <f t="shared" si="18"/>
        <v>123931.43216714615</v>
      </c>
      <c r="L101" s="11">
        <f t="shared" si="21"/>
        <v>-539.21004473276139</v>
      </c>
      <c r="M101" s="11">
        <f t="shared" si="28"/>
        <v>-995.91047385192564</v>
      </c>
      <c r="N101" s="11">
        <f t="shared" si="22"/>
        <v>916.23763594377158</v>
      </c>
      <c r="O101" s="12">
        <f t="shared" si="23"/>
        <v>-1662.9128606009181</v>
      </c>
      <c r="P101" s="10">
        <f t="shared" si="20"/>
        <v>-254461.17559381126</v>
      </c>
      <c r="Q101" s="13">
        <f t="shared" si="25"/>
        <v>273421.31817109027</v>
      </c>
      <c r="R101" s="10"/>
      <c r="S101" s="10"/>
    </row>
    <row r="102" spans="6:19" x14ac:dyDescent="0.25">
      <c r="F102" s="2">
        <f t="shared" si="26"/>
        <v>9</v>
      </c>
      <c r="G102" s="2">
        <f t="shared" si="27"/>
        <v>4</v>
      </c>
      <c r="H102" s="10">
        <f t="shared" si="24"/>
        <v>-1044.0299779600027</v>
      </c>
      <c r="I102" s="11">
        <f t="shared" si="16"/>
        <v>-309.8285804178654</v>
      </c>
      <c r="J102" s="10">
        <f t="shared" si="17"/>
        <v>-734.20139754213733</v>
      </c>
      <c r="K102" s="10">
        <f t="shared" si="18"/>
        <v>123197.23076960401</v>
      </c>
      <c r="L102" s="11">
        <f t="shared" si="21"/>
        <v>-539.21004473276139</v>
      </c>
      <c r="M102" s="11">
        <f t="shared" si="28"/>
        <v>-995.91047385192564</v>
      </c>
      <c r="N102" s="11">
        <f t="shared" si="22"/>
        <v>916.23763594377158</v>
      </c>
      <c r="O102" s="12">
        <f t="shared" si="23"/>
        <v>-1662.9128606009181</v>
      </c>
      <c r="P102" s="10">
        <f t="shared" si="20"/>
        <v>-256124.08845441218</v>
      </c>
      <c r="Q102" s="13">
        <f t="shared" si="25"/>
        <v>273421.31817109027</v>
      </c>
      <c r="R102" s="10"/>
      <c r="S102" s="10"/>
    </row>
    <row r="103" spans="6:19" x14ac:dyDescent="0.25">
      <c r="F103" s="2">
        <f t="shared" si="26"/>
        <v>9</v>
      </c>
      <c r="G103" s="2">
        <f t="shared" si="27"/>
        <v>5</v>
      </c>
      <c r="H103" s="10">
        <f t="shared" si="24"/>
        <v>-1044.0299779600027</v>
      </c>
      <c r="I103" s="11">
        <f t="shared" si="16"/>
        <v>-307.99307692401004</v>
      </c>
      <c r="J103" s="10">
        <f t="shared" si="17"/>
        <v>-736.03690103599274</v>
      </c>
      <c r="K103" s="10">
        <f t="shared" si="18"/>
        <v>122461.19386856802</v>
      </c>
      <c r="L103" s="11">
        <f t="shared" si="21"/>
        <v>-539.21004473276139</v>
      </c>
      <c r="M103" s="11">
        <f t="shared" si="28"/>
        <v>-995.91047385192564</v>
      </c>
      <c r="N103" s="11">
        <f t="shared" si="22"/>
        <v>916.23763594377158</v>
      </c>
      <c r="O103" s="12">
        <f t="shared" si="23"/>
        <v>-1662.9128606009181</v>
      </c>
      <c r="P103" s="10">
        <f t="shared" si="20"/>
        <v>-257787.0013150131</v>
      </c>
      <c r="Q103" s="13">
        <f t="shared" si="25"/>
        <v>273421.31817109027</v>
      </c>
      <c r="R103" s="10"/>
      <c r="S103" s="10"/>
    </row>
    <row r="104" spans="6:19" x14ac:dyDescent="0.25">
      <c r="F104" s="2">
        <f t="shared" si="26"/>
        <v>9</v>
      </c>
      <c r="G104" s="2">
        <f t="shared" si="27"/>
        <v>6</v>
      </c>
      <c r="H104" s="10">
        <f t="shared" si="24"/>
        <v>-1044.0299779600027</v>
      </c>
      <c r="I104" s="11">
        <f t="shared" si="16"/>
        <v>-306.15298467142009</v>
      </c>
      <c r="J104" s="10">
        <f t="shared" si="17"/>
        <v>-737.87699328858264</v>
      </c>
      <c r="K104" s="10">
        <f t="shared" si="18"/>
        <v>121723.31687527944</v>
      </c>
      <c r="L104" s="11">
        <f t="shared" si="21"/>
        <v>-539.21004473276139</v>
      </c>
      <c r="M104" s="11">
        <f t="shared" si="28"/>
        <v>-995.91047385192564</v>
      </c>
      <c r="N104" s="11">
        <f t="shared" si="22"/>
        <v>916.23763594377158</v>
      </c>
      <c r="O104" s="12">
        <f t="shared" si="23"/>
        <v>-1662.9128606009181</v>
      </c>
      <c r="P104" s="10">
        <f t="shared" si="20"/>
        <v>-259449.91417561402</v>
      </c>
      <c r="Q104" s="13">
        <f t="shared" si="25"/>
        <v>273421.31817109027</v>
      </c>
      <c r="R104" s="10"/>
      <c r="S104" s="10"/>
    </row>
    <row r="105" spans="6:19" x14ac:dyDescent="0.25">
      <c r="F105" s="2">
        <f t="shared" si="26"/>
        <v>9</v>
      </c>
      <c r="G105" s="2">
        <f t="shared" si="27"/>
        <v>7</v>
      </c>
      <c r="H105" s="10">
        <f t="shared" si="24"/>
        <v>-1044.0299779600027</v>
      </c>
      <c r="I105" s="11">
        <f t="shared" si="16"/>
        <v>-304.30829218819861</v>
      </c>
      <c r="J105" s="10">
        <f t="shared" si="17"/>
        <v>-739.72168577180412</v>
      </c>
      <c r="K105" s="10">
        <f t="shared" si="18"/>
        <v>120983.59518950764</v>
      </c>
      <c r="L105" s="11">
        <f t="shared" si="21"/>
        <v>-539.21004473276139</v>
      </c>
      <c r="M105" s="11">
        <f t="shared" si="28"/>
        <v>-995.91047385192564</v>
      </c>
      <c r="N105" s="11">
        <f t="shared" si="22"/>
        <v>916.23763594377158</v>
      </c>
      <c r="O105" s="12">
        <f t="shared" si="23"/>
        <v>-1662.9128606009181</v>
      </c>
      <c r="P105" s="10">
        <f t="shared" si="20"/>
        <v>-261112.82703621493</v>
      </c>
      <c r="Q105" s="13">
        <f t="shared" si="25"/>
        <v>273421.31817109027</v>
      </c>
      <c r="R105" s="10"/>
      <c r="S105" s="10"/>
    </row>
    <row r="106" spans="6:19" x14ac:dyDescent="0.25">
      <c r="F106" s="2">
        <f t="shared" si="26"/>
        <v>9</v>
      </c>
      <c r="G106" s="2">
        <f t="shared" si="27"/>
        <v>8</v>
      </c>
      <c r="H106" s="10">
        <f t="shared" si="24"/>
        <v>-1044.0299779600027</v>
      </c>
      <c r="I106" s="11">
        <f t="shared" si="16"/>
        <v>-302.45898797376913</v>
      </c>
      <c r="J106" s="10">
        <f t="shared" si="17"/>
        <v>-741.5709899862336</v>
      </c>
      <c r="K106" s="10">
        <f t="shared" si="18"/>
        <v>120242.02419952142</v>
      </c>
      <c r="L106" s="11">
        <f t="shared" si="21"/>
        <v>-539.21004473276139</v>
      </c>
      <c r="M106" s="11">
        <f t="shared" si="28"/>
        <v>-995.91047385192564</v>
      </c>
      <c r="N106" s="11">
        <f t="shared" si="22"/>
        <v>916.23763594377158</v>
      </c>
      <c r="O106" s="12">
        <f t="shared" si="23"/>
        <v>-1662.9128606009181</v>
      </c>
      <c r="P106" s="10">
        <f t="shared" si="20"/>
        <v>-262775.73989681585</v>
      </c>
      <c r="Q106" s="13">
        <f t="shared" si="25"/>
        <v>273421.31817109027</v>
      </c>
      <c r="R106" s="10"/>
      <c r="S106" s="10"/>
    </row>
    <row r="107" spans="6:19" x14ac:dyDescent="0.25">
      <c r="F107" s="2">
        <f t="shared" si="26"/>
        <v>9</v>
      </c>
      <c r="G107" s="2">
        <f t="shared" si="27"/>
        <v>9</v>
      </c>
      <c r="H107" s="10">
        <f t="shared" si="24"/>
        <v>-1044.0299779600027</v>
      </c>
      <c r="I107" s="11">
        <f t="shared" si="16"/>
        <v>-300.60506049880354</v>
      </c>
      <c r="J107" s="10">
        <f t="shared" si="17"/>
        <v>-743.42491746119913</v>
      </c>
      <c r="K107" s="10">
        <f t="shared" si="18"/>
        <v>119498.59928206021</v>
      </c>
      <c r="L107" s="11">
        <f t="shared" si="21"/>
        <v>-539.21004473276139</v>
      </c>
      <c r="M107" s="11">
        <f t="shared" si="28"/>
        <v>-995.91047385192564</v>
      </c>
      <c r="N107" s="11">
        <f t="shared" si="22"/>
        <v>916.23763594377158</v>
      </c>
      <c r="O107" s="12">
        <f t="shared" si="23"/>
        <v>-1662.9128606009181</v>
      </c>
      <c r="P107" s="10">
        <f t="shared" si="20"/>
        <v>-264438.65275741677</v>
      </c>
      <c r="Q107" s="13">
        <f t="shared" si="25"/>
        <v>273421.31817109027</v>
      </c>
      <c r="R107" s="10"/>
      <c r="S107" s="10"/>
    </row>
    <row r="108" spans="6:19" x14ac:dyDescent="0.25">
      <c r="F108" s="2">
        <f t="shared" si="26"/>
        <v>9</v>
      </c>
      <c r="G108" s="2">
        <f t="shared" si="27"/>
        <v>10</v>
      </c>
      <c r="H108" s="10">
        <f t="shared" si="24"/>
        <v>-1044.0299779600027</v>
      </c>
      <c r="I108" s="11">
        <f t="shared" si="16"/>
        <v>-298.74649820515054</v>
      </c>
      <c r="J108" s="10">
        <f t="shared" si="17"/>
        <v>-745.28347975485212</v>
      </c>
      <c r="K108" s="10">
        <f t="shared" si="18"/>
        <v>118753.31580230535</v>
      </c>
      <c r="L108" s="11">
        <f t="shared" si="21"/>
        <v>-539.21004473276139</v>
      </c>
      <c r="M108" s="11">
        <f t="shared" si="28"/>
        <v>-995.91047385192564</v>
      </c>
      <c r="N108" s="11">
        <f t="shared" si="22"/>
        <v>916.23763594377158</v>
      </c>
      <c r="O108" s="12">
        <f t="shared" si="23"/>
        <v>-1662.9128606009181</v>
      </c>
      <c r="P108" s="10">
        <f t="shared" si="20"/>
        <v>-266101.56561801769</v>
      </c>
      <c r="Q108" s="13">
        <f t="shared" si="25"/>
        <v>273421.31817109027</v>
      </c>
      <c r="R108" s="10"/>
      <c r="S108" s="10"/>
    </row>
    <row r="109" spans="6:19" x14ac:dyDescent="0.25">
      <c r="F109" s="2">
        <f t="shared" si="26"/>
        <v>9</v>
      </c>
      <c r="G109" s="2">
        <f t="shared" si="27"/>
        <v>11</v>
      </c>
      <c r="H109" s="10">
        <f t="shared" si="24"/>
        <v>-1044.0299779600027</v>
      </c>
      <c r="I109" s="11">
        <f t="shared" si="16"/>
        <v>-296.8832895057634</v>
      </c>
      <c r="J109" s="10">
        <f t="shared" si="17"/>
        <v>-747.14668845423932</v>
      </c>
      <c r="K109" s="10">
        <f t="shared" si="18"/>
        <v>118006.16911385111</v>
      </c>
      <c r="L109" s="11">
        <f t="shared" si="21"/>
        <v>-539.21004473276139</v>
      </c>
      <c r="M109" s="11">
        <f t="shared" si="28"/>
        <v>-995.91047385192564</v>
      </c>
      <c r="N109" s="11">
        <f t="shared" si="22"/>
        <v>916.23763594377158</v>
      </c>
      <c r="O109" s="12">
        <f t="shared" si="23"/>
        <v>-1662.9128606009181</v>
      </c>
      <c r="P109" s="10">
        <f t="shared" si="20"/>
        <v>-267764.47847861861</v>
      </c>
      <c r="Q109" s="13">
        <f t="shared" si="25"/>
        <v>273421.31817109027</v>
      </c>
      <c r="R109" s="10"/>
      <c r="S109" s="10"/>
    </row>
    <row r="110" spans="6:19" x14ac:dyDescent="0.25">
      <c r="F110" s="2">
        <f t="shared" si="26"/>
        <v>9</v>
      </c>
      <c r="G110" s="2">
        <f t="shared" si="27"/>
        <v>12</v>
      </c>
      <c r="H110" s="10">
        <f t="shared" si="24"/>
        <v>-1044.0299779600027</v>
      </c>
      <c r="I110" s="11">
        <f t="shared" si="16"/>
        <v>-295.01542278462779</v>
      </c>
      <c r="J110" s="10">
        <f t="shared" si="17"/>
        <v>-749.01455517537488</v>
      </c>
      <c r="K110" s="10">
        <f t="shared" si="18"/>
        <v>117257.15455867573</v>
      </c>
      <c r="L110" s="11">
        <f t="shared" si="21"/>
        <v>-539.21004473276139</v>
      </c>
      <c r="M110" s="11">
        <f t="shared" si="28"/>
        <v>-995.91047385192564</v>
      </c>
      <c r="N110" s="11">
        <f t="shared" si="22"/>
        <v>916.23763594377158</v>
      </c>
      <c r="O110" s="12">
        <f t="shared" si="23"/>
        <v>-1662.9128606009181</v>
      </c>
      <c r="P110" s="10">
        <f t="shared" si="20"/>
        <v>-269427.39133921952</v>
      </c>
      <c r="Q110" s="13">
        <f t="shared" si="25"/>
        <v>273421.31817109027</v>
      </c>
      <c r="R110" s="10"/>
      <c r="S110" s="10"/>
    </row>
    <row r="111" spans="6:19" x14ac:dyDescent="0.25">
      <c r="F111" s="2">
        <f t="shared" si="26"/>
        <v>10</v>
      </c>
      <c r="G111" s="2">
        <f t="shared" si="27"/>
        <v>1</v>
      </c>
      <c r="H111" s="10">
        <f t="shared" si="24"/>
        <v>-1044.0299779600027</v>
      </c>
      <c r="I111" s="11">
        <f t="shared" si="16"/>
        <v>-293.14288639668933</v>
      </c>
      <c r="J111" s="10">
        <f t="shared" si="17"/>
        <v>-750.88709156331333</v>
      </c>
      <c r="K111" s="10">
        <f t="shared" si="18"/>
        <v>116506.26746711241</v>
      </c>
      <c r="L111" s="11">
        <f t="shared" si="21"/>
        <v>-544.93135964265764</v>
      </c>
      <c r="M111" s="11">
        <f t="shared" si="28"/>
        <v>-1015.8286833289642</v>
      </c>
      <c r="N111" s="11">
        <f t="shared" si="22"/>
        <v>934.56238866264709</v>
      </c>
      <c r="O111" s="12">
        <f t="shared" si="23"/>
        <v>-1670.2276322689777</v>
      </c>
      <c r="P111" s="10">
        <f t="shared" si="20"/>
        <v>-271097.6189714885</v>
      </c>
      <c r="Q111" s="13">
        <f t="shared" si="25"/>
        <v>276155.53135280119</v>
      </c>
      <c r="R111" s="10"/>
      <c r="S111" s="10"/>
    </row>
    <row r="112" spans="6:19" x14ac:dyDescent="0.25">
      <c r="F112" s="2">
        <f t="shared" si="26"/>
        <v>10</v>
      </c>
      <c r="G112" s="2">
        <f t="shared" si="27"/>
        <v>2</v>
      </c>
      <c r="H112" s="10">
        <f t="shared" si="24"/>
        <v>-1044.0299779600027</v>
      </c>
      <c r="I112" s="11">
        <f t="shared" si="16"/>
        <v>-291.26566866778103</v>
      </c>
      <c r="J112" s="10">
        <f t="shared" si="17"/>
        <v>-752.7643092922217</v>
      </c>
      <c r="K112" s="10">
        <f t="shared" si="18"/>
        <v>115753.50315782019</v>
      </c>
      <c r="L112" s="11">
        <f t="shared" si="21"/>
        <v>-544.93135964265764</v>
      </c>
      <c r="M112" s="11">
        <f t="shared" si="28"/>
        <v>-1015.8286833289642</v>
      </c>
      <c r="N112" s="11">
        <f t="shared" si="22"/>
        <v>934.56238866264709</v>
      </c>
      <c r="O112" s="12">
        <f t="shared" si="23"/>
        <v>-1670.2276322689777</v>
      </c>
      <c r="P112" s="10">
        <f t="shared" si="20"/>
        <v>-272767.84660375747</v>
      </c>
      <c r="Q112" s="13">
        <f t="shared" si="25"/>
        <v>276155.53135280119</v>
      </c>
      <c r="R112" s="10"/>
      <c r="S112" s="10"/>
    </row>
    <row r="113" spans="6:19" x14ac:dyDescent="0.25">
      <c r="F113" s="2">
        <f t="shared" si="26"/>
        <v>10</v>
      </c>
      <c r="G113" s="2">
        <f t="shared" si="27"/>
        <v>3</v>
      </c>
      <c r="H113" s="10">
        <f t="shared" si="24"/>
        <v>-1044.0299779600027</v>
      </c>
      <c r="I113" s="11">
        <f t="shared" si="16"/>
        <v>-289.38375789455046</v>
      </c>
      <c r="J113" s="10">
        <f t="shared" si="17"/>
        <v>-754.64622006545233</v>
      </c>
      <c r="K113" s="10">
        <f t="shared" si="18"/>
        <v>114998.85693775474</v>
      </c>
      <c r="L113" s="11">
        <f t="shared" si="21"/>
        <v>-544.93135964265764</v>
      </c>
      <c r="M113" s="11">
        <f t="shared" si="28"/>
        <v>-1015.8286833289642</v>
      </c>
      <c r="N113" s="11">
        <f t="shared" si="22"/>
        <v>934.56238866264709</v>
      </c>
      <c r="O113" s="12">
        <f t="shared" si="23"/>
        <v>-1670.2276322689777</v>
      </c>
      <c r="P113" s="10">
        <f t="shared" si="20"/>
        <v>-274438.07423602644</v>
      </c>
      <c r="Q113" s="13">
        <f t="shared" si="25"/>
        <v>276155.53135280119</v>
      </c>
      <c r="R113" s="10"/>
      <c r="S113" s="10"/>
    </row>
    <row r="114" spans="6:19" x14ac:dyDescent="0.25">
      <c r="F114" s="2">
        <f t="shared" si="26"/>
        <v>10</v>
      </c>
      <c r="G114" s="2">
        <f t="shared" si="27"/>
        <v>4</v>
      </c>
      <c r="H114" s="10">
        <f t="shared" si="24"/>
        <v>-1044.0299779600027</v>
      </c>
      <c r="I114" s="11">
        <f t="shared" si="16"/>
        <v>-287.49714234438687</v>
      </c>
      <c r="J114" s="10">
        <f t="shared" si="17"/>
        <v>-756.5328356156158</v>
      </c>
      <c r="K114" s="10">
        <f t="shared" si="18"/>
        <v>114242.32410213913</v>
      </c>
      <c r="L114" s="11">
        <f t="shared" si="21"/>
        <v>-544.93135964265764</v>
      </c>
      <c r="M114" s="11">
        <f t="shared" si="28"/>
        <v>-1015.8286833289642</v>
      </c>
      <c r="N114" s="11">
        <f t="shared" si="22"/>
        <v>934.56238866264709</v>
      </c>
      <c r="O114" s="12">
        <f t="shared" si="23"/>
        <v>-1670.2276322689777</v>
      </c>
      <c r="P114" s="10">
        <f t="shared" si="20"/>
        <v>-276108.30186829541</v>
      </c>
      <c r="Q114" s="13">
        <f t="shared" si="25"/>
        <v>276155.53135280119</v>
      </c>
      <c r="R114" s="10"/>
      <c r="S114" s="10"/>
    </row>
    <row r="115" spans="6:19" x14ac:dyDescent="0.25">
      <c r="F115" s="2">
        <f t="shared" si="26"/>
        <v>10</v>
      </c>
      <c r="G115" s="2">
        <f t="shared" si="27"/>
        <v>5</v>
      </c>
      <c r="H115" s="10">
        <f t="shared" si="24"/>
        <v>-1044.0299779600027</v>
      </c>
      <c r="I115" s="11">
        <f t="shared" si="16"/>
        <v>-285.60581025534782</v>
      </c>
      <c r="J115" s="10">
        <f t="shared" si="17"/>
        <v>-758.42416770465491</v>
      </c>
      <c r="K115" s="10">
        <f t="shared" si="18"/>
        <v>113483.89993443448</v>
      </c>
      <c r="L115" s="11">
        <f t="shared" si="21"/>
        <v>-544.93135964265764</v>
      </c>
      <c r="M115" s="11">
        <f t="shared" si="28"/>
        <v>-1015.8286833289642</v>
      </c>
      <c r="N115" s="11">
        <f t="shared" si="22"/>
        <v>934.56238866264709</v>
      </c>
      <c r="O115" s="12">
        <f t="shared" si="23"/>
        <v>-1670.2276322689777</v>
      </c>
      <c r="P115" s="10">
        <f t="shared" si="20"/>
        <v>-277778.52950056439</v>
      </c>
      <c r="Q115" s="13">
        <f t="shared" si="25"/>
        <v>276155.53135280119</v>
      </c>
      <c r="R115" s="10"/>
      <c r="S115" s="10"/>
    </row>
    <row r="116" spans="6:19" x14ac:dyDescent="0.25">
      <c r="F116" s="2">
        <f t="shared" si="26"/>
        <v>10</v>
      </c>
      <c r="G116" s="2">
        <f t="shared" si="27"/>
        <v>6</v>
      </c>
      <c r="H116" s="10">
        <f t="shared" si="24"/>
        <v>-1044.0299779600027</v>
      </c>
      <c r="I116" s="11">
        <f t="shared" si="16"/>
        <v>-283.70974983608619</v>
      </c>
      <c r="J116" s="10">
        <f t="shared" si="17"/>
        <v>-760.32022812391654</v>
      </c>
      <c r="K116" s="10">
        <f t="shared" si="18"/>
        <v>112723.57970631056</v>
      </c>
      <c r="L116" s="11">
        <f t="shared" si="21"/>
        <v>-544.93135964265764</v>
      </c>
      <c r="M116" s="11">
        <f t="shared" si="28"/>
        <v>-1015.8286833289642</v>
      </c>
      <c r="N116" s="11">
        <f t="shared" si="22"/>
        <v>934.56238866264709</v>
      </c>
      <c r="O116" s="12">
        <f t="shared" si="23"/>
        <v>-1670.2276322689777</v>
      </c>
      <c r="P116" s="10">
        <f t="shared" si="20"/>
        <v>-279448.75713283336</v>
      </c>
      <c r="Q116" s="13">
        <f t="shared" si="25"/>
        <v>276155.53135280119</v>
      </c>
      <c r="R116" s="10"/>
      <c r="S116" s="10"/>
    </row>
    <row r="117" spans="6:19" x14ac:dyDescent="0.25">
      <c r="F117" s="2">
        <f t="shared" si="26"/>
        <v>10</v>
      </c>
      <c r="G117" s="2">
        <f t="shared" si="27"/>
        <v>7</v>
      </c>
      <c r="H117" s="10">
        <f t="shared" si="24"/>
        <v>-1044.0299779600027</v>
      </c>
      <c r="I117" s="11">
        <f t="shared" si="16"/>
        <v>-281.80894926577639</v>
      </c>
      <c r="J117" s="10">
        <f t="shared" si="17"/>
        <v>-762.22102869422633</v>
      </c>
      <c r="K117" s="10">
        <f t="shared" si="18"/>
        <v>111961.35867761633</v>
      </c>
      <c r="L117" s="11">
        <f t="shared" si="21"/>
        <v>-544.93135964265764</v>
      </c>
      <c r="M117" s="11">
        <f t="shared" si="28"/>
        <v>-1015.8286833289642</v>
      </c>
      <c r="N117" s="11">
        <f t="shared" si="22"/>
        <v>934.56238866264709</v>
      </c>
      <c r="O117" s="12">
        <f t="shared" si="23"/>
        <v>-1670.2276322689777</v>
      </c>
      <c r="P117" s="10">
        <f t="shared" si="20"/>
        <v>-281118.98476510233</v>
      </c>
      <c r="Q117" s="13">
        <f t="shared" si="25"/>
        <v>276155.53135280119</v>
      </c>
      <c r="R117" s="10"/>
      <c r="S117" s="10"/>
    </row>
    <row r="118" spans="6:19" x14ac:dyDescent="0.25">
      <c r="F118" s="2">
        <f t="shared" si="26"/>
        <v>10</v>
      </c>
      <c r="G118" s="2">
        <f t="shared" si="27"/>
        <v>8</v>
      </c>
      <c r="H118" s="10">
        <f t="shared" si="24"/>
        <v>-1044.0299779600027</v>
      </c>
      <c r="I118" s="11">
        <f t="shared" si="16"/>
        <v>-279.90339669404085</v>
      </c>
      <c r="J118" s="10">
        <f t="shared" si="17"/>
        <v>-764.12658126596193</v>
      </c>
      <c r="K118" s="10">
        <f t="shared" si="18"/>
        <v>111197.23209635037</v>
      </c>
      <c r="L118" s="11">
        <f t="shared" si="21"/>
        <v>-544.93135964265764</v>
      </c>
      <c r="M118" s="11">
        <f t="shared" si="28"/>
        <v>-1015.8286833289642</v>
      </c>
      <c r="N118" s="11">
        <f t="shared" si="22"/>
        <v>934.56238866264709</v>
      </c>
      <c r="O118" s="12">
        <f t="shared" si="23"/>
        <v>-1670.2276322689777</v>
      </c>
      <c r="P118" s="10">
        <f t="shared" si="20"/>
        <v>-282789.2123973713</v>
      </c>
      <c r="Q118" s="13">
        <f t="shared" si="25"/>
        <v>276155.53135280119</v>
      </c>
      <c r="R118" s="10"/>
      <c r="S118" s="10"/>
    </row>
    <row r="119" spans="6:19" x14ac:dyDescent="0.25">
      <c r="F119" s="2">
        <f t="shared" si="26"/>
        <v>10</v>
      </c>
      <c r="G119" s="2">
        <f t="shared" si="27"/>
        <v>9</v>
      </c>
      <c r="H119" s="10">
        <f t="shared" si="24"/>
        <v>-1044.0299779600027</v>
      </c>
      <c r="I119" s="11">
        <f t="shared" si="16"/>
        <v>-277.99308024087594</v>
      </c>
      <c r="J119" s="10">
        <f t="shared" si="17"/>
        <v>-766.03689771912673</v>
      </c>
      <c r="K119" s="10">
        <f t="shared" si="18"/>
        <v>110431.19519863125</v>
      </c>
      <c r="L119" s="11">
        <f t="shared" si="21"/>
        <v>-544.93135964265764</v>
      </c>
      <c r="M119" s="11">
        <f t="shared" si="28"/>
        <v>-1015.8286833289642</v>
      </c>
      <c r="N119" s="11">
        <f t="shared" si="22"/>
        <v>934.56238866264709</v>
      </c>
      <c r="O119" s="12">
        <f t="shared" si="23"/>
        <v>-1670.2276322689777</v>
      </c>
      <c r="P119" s="10">
        <f t="shared" si="20"/>
        <v>-284459.44002964027</v>
      </c>
      <c r="Q119" s="13">
        <f t="shared" si="25"/>
        <v>276155.53135280119</v>
      </c>
      <c r="R119" s="10"/>
      <c r="S119" s="10"/>
    </row>
    <row r="120" spans="6:19" x14ac:dyDescent="0.25">
      <c r="F120" s="2">
        <f t="shared" si="26"/>
        <v>10</v>
      </c>
      <c r="G120" s="2">
        <f t="shared" si="27"/>
        <v>10</v>
      </c>
      <c r="H120" s="10">
        <f t="shared" si="24"/>
        <v>-1044.0299779600027</v>
      </c>
      <c r="I120" s="11">
        <f t="shared" si="16"/>
        <v>-276.07798799657814</v>
      </c>
      <c r="J120" s="10">
        <f t="shared" si="17"/>
        <v>-767.95198996342458</v>
      </c>
      <c r="K120" s="10">
        <f t="shared" si="18"/>
        <v>109663.24320866783</v>
      </c>
      <c r="L120" s="11">
        <f t="shared" si="21"/>
        <v>-544.93135964265764</v>
      </c>
      <c r="M120" s="11">
        <f t="shared" si="28"/>
        <v>-1015.8286833289642</v>
      </c>
      <c r="N120" s="11">
        <f t="shared" si="22"/>
        <v>934.56238866264709</v>
      </c>
      <c r="O120" s="12">
        <f t="shared" si="23"/>
        <v>-1670.2276322689777</v>
      </c>
      <c r="P120" s="10">
        <f t="shared" si="20"/>
        <v>-286129.66766190925</v>
      </c>
      <c r="Q120" s="13">
        <f t="shared" si="25"/>
        <v>276155.53135280119</v>
      </c>
      <c r="R120" s="10"/>
      <c r="S120" s="10"/>
    </row>
    <row r="121" spans="6:19" x14ac:dyDescent="0.25">
      <c r="F121" s="2">
        <f t="shared" si="26"/>
        <v>10</v>
      </c>
      <c r="G121" s="2">
        <f t="shared" si="27"/>
        <v>11</v>
      </c>
      <c r="H121" s="10">
        <f t="shared" si="24"/>
        <v>-1044.0299779600027</v>
      </c>
      <c r="I121" s="11">
        <f t="shared" si="16"/>
        <v>-274.15810802166959</v>
      </c>
      <c r="J121" s="10">
        <f t="shared" si="17"/>
        <v>-769.87186993833313</v>
      </c>
      <c r="K121" s="10">
        <f t="shared" si="18"/>
        <v>108893.3713387295</v>
      </c>
      <c r="L121" s="11">
        <f t="shared" si="21"/>
        <v>-544.93135964265764</v>
      </c>
      <c r="M121" s="11">
        <f t="shared" si="28"/>
        <v>-1015.8286833289642</v>
      </c>
      <c r="N121" s="11">
        <f t="shared" si="22"/>
        <v>934.56238866264709</v>
      </c>
      <c r="O121" s="12">
        <f t="shared" si="23"/>
        <v>-1670.2276322689777</v>
      </c>
      <c r="P121" s="10">
        <f t="shared" si="20"/>
        <v>-287799.89529417822</v>
      </c>
      <c r="Q121" s="13">
        <f t="shared" si="25"/>
        <v>276155.53135280119</v>
      </c>
      <c r="R121" s="10"/>
      <c r="S121" s="10"/>
    </row>
    <row r="122" spans="6:19" x14ac:dyDescent="0.25">
      <c r="F122" s="2">
        <f t="shared" si="26"/>
        <v>10</v>
      </c>
      <c r="G122" s="2">
        <f t="shared" si="27"/>
        <v>12</v>
      </c>
      <c r="H122" s="10">
        <f t="shared" si="24"/>
        <v>-1044.0299779600027</v>
      </c>
      <c r="I122" s="11">
        <f t="shared" si="16"/>
        <v>-272.23342834682376</v>
      </c>
      <c r="J122" s="10">
        <f t="shared" si="17"/>
        <v>-771.79654961317897</v>
      </c>
      <c r="K122" s="10">
        <f t="shared" si="18"/>
        <v>108121.57478911632</v>
      </c>
      <c r="L122" s="11">
        <f t="shared" si="21"/>
        <v>-544.93135964265764</v>
      </c>
      <c r="M122" s="11">
        <f t="shared" si="28"/>
        <v>-1015.8286833289642</v>
      </c>
      <c r="N122" s="11">
        <f t="shared" si="22"/>
        <v>934.56238866264709</v>
      </c>
      <c r="O122" s="12">
        <f>L122+H122+M122+N122+$C$30</f>
        <v>150934.12874193906</v>
      </c>
      <c r="P122" s="10">
        <f t="shared" si="20"/>
        <v>-136865.76655223916</v>
      </c>
      <c r="Q122" s="13">
        <f t="shared" si="25"/>
        <v>276155.53135280119</v>
      </c>
      <c r="R122" s="10"/>
      <c r="S122" s="10"/>
    </row>
    <row r="123" spans="6:19" x14ac:dyDescent="0.25">
      <c r="F123" s="2"/>
      <c r="G123" s="2"/>
      <c r="H123" s="10"/>
      <c r="I123" s="11"/>
      <c r="J123" s="10"/>
      <c r="K123" s="10"/>
      <c r="L123" s="11"/>
      <c r="M123" s="11"/>
      <c r="N123" s="11"/>
      <c r="O123" s="12"/>
      <c r="P123" s="10"/>
      <c r="Q123" s="13"/>
      <c r="R123" s="10"/>
      <c r="S123" s="10"/>
    </row>
    <row r="124" spans="6:19" x14ac:dyDescent="0.25">
      <c r="F124" s="2"/>
      <c r="G124" s="2"/>
      <c r="H124" s="10"/>
      <c r="I124" s="11"/>
      <c r="J124" s="10"/>
      <c r="K124" s="10"/>
      <c r="L124" s="11"/>
      <c r="M124" s="11"/>
      <c r="N124" s="11"/>
      <c r="O124" s="12"/>
      <c r="P124" s="10"/>
      <c r="Q124" s="13"/>
      <c r="R124" s="10"/>
      <c r="S124" s="10"/>
    </row>
    <row r="125" spans="6:19" x14ac:dyDescent="0.25">
      <c r="F125" s="2"/>
      <c r="G125" t="s">
        <v>42</v>
      </c>
      <c r="H125" s="10"/>
      <c r="I125" s="11"/>
      <c r="J125" s="10"/>
      <c r="K125" s="10"/>
      <c r="L125" s="11"/>
      <c r="M125" s="11"/>
      <c r="N125" s="11"/>
      <c r="O125" s="12"/>
      <c r="P125" s="10"/>
      <c r="Q125" s="13"/>
      <c r="R125" s="10"/>
      <c r="S125" s="10"/>
    </row>
    <row r="126" spans="6:19" x14ac:dyDescent="0.25">
      <c r="F126" s="2"/>
      <c r="G126" s="15">
        <f>NPV(4%,G129:G139)</f>
        <v>-144047.43939925588</v>
      </c>
      <c r="H126" s="10"/>
      <c r="I126" s="11"/>
      <c r="J126" s="10"/>
      <c r="K126" s="10"/>
      <c r="L126" s="11"/>
      <c r="M126" s="11"/>
      <c r="N126" s="11"/>
      <c r="O126" s="12"/>
      <c r="P126" s="10"/>
      <c r="Q126" s="13"/>
      <c r="R126" s="10"/>
      <c r="S126" s="10"/>
    </row>
    <row r="127" spans="6:19" x14ac:dyDescent="0.25">
      <c r="F127" s="2"/>
      <c r="H127" s="10"/>
      <c r="I127" s="11"/>
      <c r="J127" s="10"/>
      <c r="K127" s="10"/>
      <c r="L127" s="11"/>
      <c r="M127" s="11"/>
      <c r="N127" s="11"/>
      <c r="O127" s="12"/>
      <c r="P127" s="10"/>
      <c r="Q127" s="13"/>
      <c r="R127" s="10"/>
      <c r="S127" s="10"/>
    </row>
    <row r="128" spans="6:19" x14ac:dyDescent="0.25">
      <c r="F128" s="2" t="s">
        <v>0</v>
      </c>
      <c r="G128" s="2" t="s">
        <v>48</v>
      </c>
      <c r="H128" s="10"/>
      <c r="I128" s="11"/>
      <c r="J128" s="10"/>
      <c r="K128" s="10"/>
      <c r="L128" s="11"/>
      <c r="M128" s="11"/>
      <c r="N128" s="11"/>
      <c r="O128" s="12"/>
      <c r="P128" s="10"/>
      <c r="Q128" s="13"/>
      <c r="R128" s="10"/>
      <c r="S128" s="10"/>
    </row>
    <row r="129" spans="6:19" x14ac:dyDescent="0.25">
      <c r="F129" s="2">
        <v>0</v>
      </c>
      <c r="G129" s="2">
        <f t="shared" ref="G129:G139" si="29">SUMIFS($O$2:$O$122,$F$2:$F$122,F129)</f>
        <v>-100000</v>
      </c>
      <c r="H129" s="10"/>
      <c r="I129" s="11"/>
      <c r="J129" s="10"/>
      <c r="K129" s="10"/>
      <c r="L129" s="11"/>
      <c r="M129" s="11"/>
      <c r="N129" s="11"/>
      <c r="O129" s="12"/>
      <c r="P129" s="10"/>
      <c r="Q129" s="13"/>
      <c r="R129" s="10"/>
      <c r="S129" s="10"/>
    </row>
    <row r="130" spans="6:19" x14ac:dyDescent="0.25">
      <c r="F130" s="2">
        <f>F129+1</f>
        <v>1</v>
      </c>
      <c r="G130" s="21">
        <f t="shared" si="29"/>
        <v>-17923.984735520029</v>
      </c>
      <c r="H130" s="10"/>
      <c r="I130" s="11"/>
      <c r="J130" s="10"/>
      <c r="K130" s="10"/>
      <c r="L130" s="11"/>
      <c r="M130" s="11"/>
      <c r="N130" s="11"/>
      <c r="O130" s="12"/>
      <c r="P130" s="10"/>
      <c r="Q130" s="13"/>
      <c r="R130" s="10"/>
      <c r="S130" s="10"/>
    </row>
    <row r="131" spans="6:19" x14ac:dyDescent="0.25">
      <c r="F131" s="2">
        <f t="shared" ref="F131:F139" si="30">F130+1</f>
        <v>2</v>
      </c>
      <c r="G131" s="21">
        <f t="shared" si="29"/>
        <v>-17973.234735520036</v>
      </c>
      <c r="H131" s="10"/>
      <c r="I131" s="11"/>
      <c r="J131" s="10"/>
      <c r="K131" s="10"/>
      <c r="L131" s="11"/>
      <c r="M131" s="11"/>
      <c r="N131" s="11"/>
      <c r="O131" s="12"/>
      <c r="P131" s="10"/>
      <c r="Q131" s="13"/>
      <c r="R131" s="10"/>
      <c r="S131" s="10"/>
    </row>
    <row r="132" spans="6:19" x14ac:dyDescent="0.25">
      <c r="F132" s="2">
        <f t="shared" si="30"/>
        <v>3</v>
      </c>
      <c r="G132" s="21">
        <f t="shared" si="29"/>
        <v>-18023.217235520031</v>
      </c>
      <c r="H132" s="10"/>
      <c r="I132" s="11"/>
      <c r="J132" s="10"/>
      <c r="K132" s="10"/>
      <c r="L132" s="11"/>
      <c r="M132" s="11"/>
      <c r="N132" s="11"/>
      <c r="O132" s="12"/>
      <c r="P132" s="10"/>
      <c r="Q132" s="13"/>
      <c r="R132" s="10"/>
      <c r="S132" s="10"/>
    </row>
    <row r="133" spans="6:19" x14ac:dyDescent="0.25">
      <c r="F133" s="2">
        <f t="shared" si="30"/>
        <v>4</v>
      </c>
      <c r="G133" s="21">
        <f t="shared" si="29"/>
        <v>-18073.944360520029</v>
      </c>
    </row>
    <row r="134" spans="6:19" x14ac:dyDescent="0.25">
      <c r="F134" s="2">
        <f t="shared" si="30"/>
        <v>5</v>
      </c>
      <c r="G134" s="21">
        <f t="shared" si="29"/>
        <v>-18125.428452770033</v>
      </c>
    </row>
    <row r="135" spans="6:19" x14ac:dyDescent="0.25">
      <c r="F135" s="2">
        <f t="shared" si="30"/>
        <v>6</v>
      </c>
      <c r="G135" s="21">
        <f t="shared" si="29"/>
        <v>-19700.253666707464</v>
      </c>
    </row>
    <row r="136" spans="6:19" x14ac:dyDescent="0.25">
      <c r="F136" s="2">
        <f t="shared" si="30"/>
        <v>7</v>
      </c>
      <c r="G136" s="21">
        <f t="shared" si="29"/>
        <v>-19783.741041566187</v>
      </c>
    </row>
    <row r="137" spans="6:19" x14ac:dyDescent="0.25">
      <c r="F137" s="2">
        <f t="shared" si="30"/>
        <v>8</v>
      </c>
      <c r="G137" s="21">
        <f t="shared" si="29"/>
        <v>-19868.63278388443</v>
      </c>
    </row>
    <row r="138" spans="6:19" x14ac:dyDescent="0.25">
      <c r="F138" s="2">
        <f t="shared" si="30"/>
        <v>9</v>
      </c>
      <c r="G138" s="21">
        <f t="shared" si="29"/>
        <v>-19954.954327211017</v>
      </c>
    </row>
    <row r="139" spans="6:19" x14ac:dyDescent="0.25">
      <c r="F139" s="2">
        <f t="shared" si="30"/>
        <v>10</v>
      </c>
      <c r="G139" s="21">
        <f t="shared" si="29"/>
        <v>132561.6247869803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9B4F-C7A6-47DE-9602-0989943D3BE9}">
  <dimension ref="B1:AF139"/>
  <sheetViews>
    <sheetView topLeftCell="H1" workbookViewId="0">
      <pane ySplit="1" topLeftCell="A2" activePane="bottomLeft" state="frozen"/>
      <selection pane="bottomLeft" activeCell="S1" sqref="S1:S1048576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6" max="16" width="10.42578125" customWidth="1"/>
    <col min="18" max="19" width="19.140625" customWidth="1"/>
    <col min="21" max="21" width="12.85546875" customWidth="1"/>
    <col min="27" max="27" width="11.28515625" bestFit="1" customWidth="1"/>
  </cols>
  <sheetData>
    <row r="1" spans="2:32" x14ac:dyDescent="0.25">
      <c r="F1" t="s">
        <v>0</v>
      </c>
      <c r="G1" t="s">
        <v>17</v>
      </c>
      <c r="H1" t="s">
        <v>4</v>
      </c>
      <c r="I1" t="s">
        <v>5</v>
      </c>
      <c r="J1" t="s">
        <v>6</v>
      </c>
      <c r="K1" t="s">
        <v>33</v>
      </c>
      <c r="L1" t="s">
        <v>61</v>
      </c>
      <c r="M1" t="s">
        <v>40</v>
      </c>
      <c r="N1" t="s">
        <v>55</v>
      </c>
      <c r="P1" t="s">
        <v>44</v>
      </c>
      <c r="Q1" t="s">
        <v>40</v>
      </c>
      <c r="R1" t="s">
        <v>68</v>
      </c>
      <c r="S1" t="s">
        <v>69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2:32" x14ac:dyDescent="0.25">
      <c r="F2">
        <v>0</v>
      </c>
      <c r="G2">
        <v>0</v>
      </c>
      <c r="K2" s="16">
        <f>$C$11</f>
        <v>160000</v>
      </c>
      <c r="P2" s="16">
        <f>$C$10</f>
        <v>100000</v>
      </c>
      <c r="T2" s="16">
        <f>-$C$10</f>
        <v>-100000</v>
      </c>
      <c r="U2" s="17">
        <f>T2</f>
        <v>-100000</v>
      </c>
    </row>
    <row r="3" spans="2:32" x14ac:dyDescent="0.25">
      <c r="F3" s="2">
        <v>1</v>
      </c>
      <c r="G3" s="2">
        <v>1</v>
      </c>
      <c r="H3" s="10">
        <f t="shared" ref="H3:H62" si="0">-$C$14</f>
        <v>-887.35615656627056</v>
      </c>
      <c r="I3" s="11">
        <f>IF($G3=1,-K2*$D$12,I2)</f>
        <v>-400</v>
      </c>
      <c r="J3" s="10">
        <f>H3-I3</f>
        <v>-487.35615656627056</v>
      </c>
      <c r="K3" s="10">
        <f>K2+J3</f>
        <v>159512.64384343373</v>
      </c>
      <c r="L3" s="11">
        <f>-($C$15/12+$C$16/12+$C$17*$C$11/12+$C$18/12*(1+$C$19)^($F3-1)+$C$20*V3/12)</f>
        <v>-438.33333333333331</v>
      </c>
      <c r="M3" s="11"/>
      <c r="N3" s="11">
        <f>H3+L3+M3</f>
        <v>-1325.6894898996038</v>
      </c>
      <c r="O3" s="11"/>
      <c r="P3" s="11">
        <f>P2*(1+$D$32)+R3</f>
        <v>100883.10186826445</v>
      </c>
      <c r="Q3" s="11">
        <f>-$C$34*(1+$C$35)^($F3-1)</f>
        <v>-850</v>
      </c>
      <c r="R3" s="11">
        <f>Q3-N3</f>
        <v>475.68948989960381</v>
      </c>
      <c r="S3" s="11">
        <f>R3+S2</f>
        <v>475.68948989960381</v>
      </c>
      <c r="T3" s="12"/>
      <c r="U3" s="10">
        <f>U2+T3</f>
        <v>-100000</v>
      </c>
      <c r="V3" s="13">
        <f>$C$4*(1+$C$21)^($F3)</f>
        <v>245999.99999999997</v>
      </c>
      <c r="W3" s="10">
        <f t="shared" ref="W3:W34" si="1">K3</f>
        <v>159512.64384343373</v>
      </c>
      <c r="X3" s="10">
        <f>V3-W3+U3</f>
        <v>-13512.643843433762</v>
      </c>
      <c r="Z3" s="2"/>
      <c r="AA3" s="2"/>
      <c r="AB3" s="4"/>
      <c r="AC3" s="2"/>
      <c r="AD3" s="2"/>
      <c r="AE3" s="2"/>
      <c r="AF3" s="2"/>
    </row>
    <row r="4" spans="2:32" x14ac:dyDescent="0.25">
      <c r="B4" t="s">
        <v>9</v>
      </c>
      <c r="C4">
        <v>240000</v>
      </c>
      <c r="F4" s="2">
        <v>1</v>
      </c>
      <c r="G4" s="2">
        <v>2</v>
      </c>
      <c r="H4" s="10">
        <f t="shared" si="0"/>
        <v>-887.35615656627056</v>
      </c>
      <c r="I4" s="11">
        <f>-K3*$D$12</f>
        <v>-398.78160960858435</v>
      </c>
      <c r="J4" s="10">
        <f>H4-I4</f>
        <v>-488.57454695768621</v>
      </c>
      <c r="K4" s="10">
        <f t="shared" ref="K4:K62" si="2">K3+J4</f>
        <v>159024.06929647605</v>
      </c>
      <c r="L4" s="11">
        <f t="shared" ref="L4:L35" si="3">-($C$15/12+$C$17*$C$11/12+$C$18/12*(1+$C$19)^($F4-1)+$C$20*V4/12)</f>
        <v>-438.33333333333331</v>
      </c>
      <c r="M4" s="11"/>
      <c r="N4" s="11">
        <f t="shared" ref="N4:N67" si="4">H4+L4+M4</f>
        <v>-1325.6894898996038</v>
      </c>
      <c r="O4" s="11"/>
      <c r="P4" s="11">
        <f t="shared" ref="P4:P67" si="5">P3*(1+$D$32)+R4</f>
        <v>101769.80160285378</v>
      </c>
      <c r="Q4" s="11">
        <f t="shared" ref="Q4:Q67" si="6">-$C$34*(1+$C$35)^($F4-1)</f>
        <v>-850</v>
      </c>
      <c r="R4" s="11">
        <f t="shared" ref="R4:R67" si="7">Q4-N4</f>
        <v>475.68948989960381</v>
      </c>
      <c r="S4" s="11">
        <f>R4+S3</f>
        <v>951.37897979920763</v>
      </c>
      <c r="T4" s="12"/>
      <c r="U4" s="10">
        <f>U3+T4</f>
        <v>-100000</v>
      </c>
      <c r="V4" s="13">
        <f t="shared" ref="V4:V62" si="8">$C$4*(1+$C$21)^($F4)</f>
        <v>245999.99999999997</v>
      </c>
      <c r="W4" s="10">
        <f t="shared" si="1"/>
        <v>159024.06929647605</v>
      </c>
      <c r="X4" s="10">
        <f t="shared" ref="X4:X18" si="9">V4-W4+U4</f>
        <v>-13024.069296476082</v>
      </c>
      <c r="Z4" s="2"/>
      <c r="AA4" s="2"/>
      <c r="AB4" s="4"/>
      <c r="AC4" s="2"/>
      <c r="AD4" s="2"/>
      <c r="AE4" s="2"/>
      <c r="AF4" s="2"/>
    </row>
    <row r="5" spans="2:32" x14ac:dyDescent="0.25">
      <c r="B5" t="s">
        <v>10</v>
      </c>
      <c r="C5" s="7">
        <v>7.4999999999999997E-2</v>
      </c>
      <c r="F5" s="2">
        <v>1</v>
      </c>
      <c r="G5" s="2">
        <v>3</v>
      </c>
      <c r="H5" s="10">
        <f t="shared" si="0"/>
        <v>-887.35615656627056</v>
      </c>
      <c r="I5" s="11">
        <f>-K4*$D$12</f>
        <v>-397.56017324119011</v>
      </c>
      <c r="J5" s="10">
        <f t="shared" ref="J5:J62" si="10">H5-I5</f>
        <v>-489.79598332508044</v>
      </c>
      <c r="K5" s="10">
        <f t="shared" si="2"/>
        <v>158534.27331315097</v>
      </c>
      <c r="L5" s="11">
        <f t="shared" si="3"/>
        <v>-438.33333333333331</v>
      </c>
      <c r="M5" s="11"/>
      <c r="N5" s="11">
        <f t="shared" si="4"/>
        <v>-1325.6894898996038</v>
      </c>
      <c r="O5" s="11"/>
      <c r="P5" s="11">
        <f t="shared" si="5"/>
        <v>102660.11386192075</v>
      </c>
      <c r="Q5" s="11">
        <f t="shared" si="6"/>
        <v>-850</v>
      </c>
      <c r="R5" s="11">
        <f t="shared" si="7"/>
        <v>475.68948989960381</v>
      </c>
      <c r="S5" s="11">
        <f t="shared" ref="S5:S68" si="11">R5+S4</f>
        <v>1427.0684696988114</v>
      </c>
      <c r="T5" s="12"/>
      <c r="U5" s="10">
        <f>U4+T5</f>
        <v>-100000</v>
      </c>
      <c r="V5" s="13">
        <f t="shared" si="8"/>
        <v>245999.99999999997</v>
      </c>
      <c r="W5" s="10">
        <f t="shared" si="1"/>
        <v>158534.27331315097</v>
      </c>
      <c r="X5" s="10">
        <f t="shared" si="9"/>
        <v>-12534.273313151003</v>
      </c>
      <c r="Z5" s="2"/>
      <c r="AA5" s="2"/>
      <c r="AB5" s="4"/>
      <c r="AC5" s="2"/>
      <c r="AD5" s="2"/>
      <c r="AE5" s="2"/>
      <c r="AF5" s="2"/>
    </row>
    <row r="6" spans="2:32" x14ac:dyDescent="0.25">
      <c r="B6" t="s">
        <v>11</v>
      </c>
      <c r="C6" s="7">
        <v>0</v>
      </c>
      <c r="F6" s="2">
        <v>1</v>
      </c>
      <c r="G6" s="2">
        <v>4</v>
      </c>
      <c r="H6" s="10">
        <f t="shared" si="0"/>
        <v>-887.35615656627056</v>
      </c>
      <c r="I6" s="11">
        <f t="shared" ref="I6:I62" si="12">-K5*$D$12</f>
        <v>-396.33568328287743</v>
      </c>
      <c r="J6" s="10">
        <f t="shared" si="10"/>
        <v>-491.02047328339313</v>
      </c>
      <c r="K6" s="10">
        <f t="shared" si="2"/>
        <v>158043.25283986758</v>
      </c>
      <c r="L6" s="11">
        <f t="shared" si="3"/>
        <v>-438.33333333333331</v>
      </c>
      <c r="M6" s="11"/>
      <c r="N6" s="11">
        <f t="shared" si="4"/>
        <v>-1325.6894898996038</v>
      </c>
      <c r="O6" s="11"/>
      <c r="P6" s="11">
        <f t="shared" si="5"/>
        <v>103554.05336333725</v>
      </c>
      <c r="Q6" s="11">
        <f t="shared" si="6"/>
        <v>-850</v>
      </c>
      <c r="R6" s="11">
        <f t="shared" si="7"/>
        <v>475.68948989960381</v>
      </c>
      <c r="S6" s="11">
        <f t="shared" si="11"/>
        <v>1902.7579595984153</v>
      </c>
      <c r="T6" s="12"/>
      <c r="U6" s="10">
        <f t="shared" ref="U6:U61" si="13">U5+T6</f>
        <v>-100000</v>
      </c>
      <c r="V6" s="13">
        <f t="shared" si="8"/>
        <v>245999.99999999997</v>
      </c>
      <c r="W6" s="10">
        <f t="shared" si="1"/>
        <v>158043.25283986758</v>
      </c>
      <c r="X6" s="10">
        <f t="shared" si="9"/>
        <v>-12043.252839867608</v>
      </c>
      <c r="Z6" s="2"/>
      <c r="AA6" s="2"/>
      <c r="AB6" s="4"/>
      <c r="AC6" s="2"/>
      <c r="AD6" s="2"/>
      <c r="AE6" s="2"/>
      <c r="AF6" s="2"/>
    </row>
    <row r="7" spans="2:32" x14ac:dyDescent="0.25">
      <c r="B7" t="s">
        <v>12</v>
      </c>
      <c r="C7">
        <v>2000</v>
      </c>
      <c r="F7" s="2">
        <v>1</v>
      </c>
      <c r="G7" s="2">
        <v>5</v>
      </c>
      <c r="H7" s="10">
        <f t="shared" si="0"/>
        <v>-887.35615656627056</v>
      </c>
      <c r="I7" s="11">
        <f t="shared" si="12"/>
        <v>-395.10813209966898</v>
      </c>
      <c r="J7" s="10">
        <f t="shared" si="10"/>
        <v>-492.24802446660158</v>
      </c>
      <c r="K7" s="10">
        <f t="shared" si="2"/>
        <v>157551.00481540099</v>
      </c>
      <c r="L7" s="11">
        <f t="shared" si="3"/>
        <v>-438.33333333333331</v>
      </c>
      <c r="M7" s="11"/>
      <c r="N7" s="11">
        <f t="shared" si="4"/>
        <v>-1325.6894898996038</v>
      </c>
      <c r="O7" s="11"/>
      <c r="P7" s="11">
        <f t="shared" si="5"/>
        <v>104451.63488493762</v>
      </c>
      <c r="Q7" s="11">
        <f t="shared" si="6"/>
        <v>-850</v>
      </c>
      <c r="R7" s="11">
        <f t="shared" si="7"/>
        <v>475.68948989960381</v>
      </c>
      <c r="S7" s="11">
        <f t="shared" si="11"/>
        <v>2378.4474494980191</v>
      </c>
      <c r="T7" s="12"/>
      <c r="U7" s="10">
        <f t="shared" si="13"/>
        <v>-100000</v>
      </c>
      <c r="V7" s="13">
        <f t="shared" si="8"/>
        <v>245999.99999999997</v>
      </c>
      <c r="W7" s="10">
        <f t="shared" si="1"/>
        <v>157551.00481540099</v>
      </c>
      <c r="X7" s="10">
        <f t="shared" si="9"/>
        <v>-11551.004815401015</v>
      </c>
      <c r="Z7" s="2"/>
      <c r="AA7" s="2"/>
      <c r="AB7" s="4"/>
      <c r="AC7" s="2"/>
      <c r="AD7" s="2"/>
      <c r="AE7" s="2"/>
      <c r="AF7" s="2"/>
    </row>
    <row r="8" spans="2:32" x14ac:dyDescent="0.25">
      <c r="B8" t="s">
        <v>13</v>
      </c>
      <c r="C8">
        <v>0</v>
      </c>
      <c r="F8" s="2">
        <v>1</v>
      </c>
      <c r="G8" s="2">
        <v>6</v>
      </c>
      <c r="H8" s="10">
        <f t="shared" si="0"/>
        <v>-887.35615656627056</v>
      </c>
      <c r="I8" s="11">
        <f t="shared" si="12"/>
        <v>-393.87751203850246</v>
      </c>
      <c r="J8" s="10">
        <f t="shared" si="10"/>
        <v>-493.4786445277681</v>
      </c>
      <c r="K8" s="10">
        <f t="shared" si="2"/>
        <v>157057.52617087323</v>
      </c>
      <c r="L8" s="11">
        <f t="shared" si="3"/>
        <v>-438.33333333333331</v>
      </c>
      <c r="M8" s="11"/>
      <c r="N8" s="11">
        <f t="shared" si="4"/>
        <v>-1325.6894898996038</v>
      </c>
      <c r="O8" s="11"/>
      <c r="P8" s="11">
        <f t="shared" si="5"/>
        <v>105352.87326476291</v>
      </c>
      <c r="Q8" s="11">
        <f t="shared" si="6"/>
        <v>-850</v>
      </c>
      <c r="R8" s="11">
        <f t="shared" si="7"/>
        <v>475.68948989960381</v>
      </c>
      <c r="S8" s="11">
        <f t="shared" si="11"/>
        <v>2854.1369393976229</v>
      </c>
      <c r="T8" s="12"/>
      <c r="U8" s="10">
        <f t="shared" si="13"/>
        <v>-100000</v>
      </c>
      <c r="V8" s="13">
        <f t="shared" si="8"/>
        <v>245999.99999999997</v>
      </c>
      <c r="W8" s="10">
        <f t="shared" si="1"/>
        <v>157057.52617087323</v>
      </c>
      <c r="X8" s="10">
        <f t="shared" si="9"/>
        <v>-11057.526170873258</v>
      </c>
      <c r="Z8" s="2"/>
      <c r="AA8" s="2"/>
      <c r="AB8" s="4"/>
      <c r="AC8" s="2"/>
      <c r="AD8" s="2"/>
      <c r="AE8" s="2"/>
      <c r="AF8" s="2"/>
    </row>
    <row r="9" spans="2:32" x14ac:dyDescent="0.25">
      <c r="B9" t="s">
        <v>14</v>
      </c>
      <c r="C9">
        <f>C4+(C5+C6)*C4+C7+C8</f>
        <v>260000</v>
      </c>
      <c r="F9" s="2">
        <v>1</v>
      </c>
      <c r="G9" s="2">
        <v>7</v>
      </c>
      <c r="H9" s="10">
        <f t="shared" si="0"/>
        <v>-887.35615656627056</v>
      </c>
      <c r="I9" s="11">
        <f t="shared" si="12"/>
        <v>-392.64381542718309</v>
      </c>
      <c r="J9" s="10">
        <f t="shared" si="10"/>
        <v>-494.71234113908747</v>
      </c>
      <c r="K9" s="10">
        <f t="shared" si="2"/>
        <v>156562.81382973414</v>
      </c>
      <c r="L9" s="11">
        <f t="shared" si="3"/>
        <v>-438.33333333333331</v>
      </c>
      <c r="M9" s="11"/>
      <c r="N9" s="11">
        <f t="shared" si="4"/>
        <v>-1325.6894898996038</v>
      </c>
      <c r="O9" s="11"/>
      <c r="P9" s="11">
        <f t="shared" si="5"/>
        <v>106257.78340130618</v>
      </c>
      <c r="Q9" s="11">
        <f t="shared" si="6"/>
        <v>-850</v>
      </c>
      <c r="R9" s="11">
        <f t="shared" si="7"/>
        <v>475.68948989960381</v>
      </c>
      <c r="S9" s="11">
        <f t="shared" si="11"/>
        <v>3329.8264292972267</v>
      </c>
      <c r="T9" s="12"/>
      <c r="U9" s="10">
        <f t="shared" si="13"/>
        <v>-100000</v>
      </c>
      <c r="V9" s="13">
        <f t="shared" si="8"/>
        <v>245999.99999999997</v>
      </c>
      <c r="W9" s="10">
        <f t="shared" si="1"/>
        <v>156562.81382973414</v>
      </c>
      <c r="X9" s="10">
        <f t="shared" si="9"/>
        <v>-10562.813829734165</v>
      </c>
      <c r="Z9" s="2"/>
      <c r="AA9" s="2"/>
      <c r="AB9" s="4"/>
      <c r="AC9" s="2"/>
      <c r="AD9" s="2"/>
      <c r="AE9" s="2"/>
      <c r="AF9" s="2"/>
    </row>
    <row r="10" spans="2:32" x14ac:dyDescent="0.25">
      <c r="B10" t="s">
        <v>15</v>
      </c>
      <c r="C10">
        <v>100000</v>
      </c>
      <c r="F10" s="2">
        <v>1</v>
      </c>
      <c r="G10" s="2">
        <v>8</v>
      </c>
      <c r="H10" s="10">
        <f t="shared" si="0"/>
        <v>-887.35615656627056</v>
      </c>
      <c r="I10" s="11">
        <f t="shared" si="12"/>
        <v>-391.40703457433534</v>
      </c>
      <c r="J10" s="10">
        <f t="shared" si="10"/>
        <v>-495.94912199193521</v>
      </c>
      <c r="K10" s="10">
        <f t="shared" si="2"/>
        <v>156066.86470774221</v>
      </c>
      <c r="L10" s="11">
        <f t="shared" si="3"/>
        <v>-438.33333333333331</v>
      </c>
      <c r="M10" s="11"/>
      <c r="N10" s="11">
        <f t="shared" si="4"/>
        <v>-1325.6894898996038</v>
      </c>
      <c r="O10" s="11"/>
      <c r="P10" s="11">
        <f t="shared" si="5"/>
        <v>107166.38025375881</v>
      </c>
      <c r="Q10" s="11">
        <f t="shared" si="6"/>
        <v>-850</v>
      </c>
      <c r="R10" s="11">
        <f t="shared" si="7"/>
        <v>475.68948989960381</v>
      </c>
      <c r="S10" s="11">
        <f t="shared" si="11"/>
        <v>3805.5159191968305</v>
      </c>
      <c r="T10" s="12"/>
      <c r="U10" s="10">
        <f t="shared" si="13"/>
        <v>-100000</v>
      </c>
      <c r="V10" s="13">
        <f t="shared" si="8"/>
        <v>245999.99999999997</v>
      </c>
      <c r="W10" s="10">
        <f t="shared" si="1"/>
        <v>156066.86470774221</v>
      </c>
      <c r="X10" s="10">
        <f t="shared" si="9"/>
        <v>-10066.864707742236</v>
      </c>
      <c r="Z10" s="2"/>
      <c r="AA10" s="2"/>
      <c r="AB10" s="4"/>
      <c r="AC10" s="2"/>
      <c r="AD10" s="2"/>
      <c r="AE10" s="2"/>
      <c r="AF10" s="2"/>
    </row>
    <row r="11" spans="2:32" x14ac:dyDescent="0.25">
      <c r="B11" t="s">
        <v>16</v>
      </c>
      <c r="C11">
        <f>C9-C10</f>
        <v>160000</v>
      </c>
      <c r="F11" s="2">
        <v>1</v>
      </c>
      <c r="G11" s="2">
        <v>9</v>
      </c>
      <c r="H11" s="10">
        <f t="shared" si="0"/>
        <v>-887.35615656627056</v>
      </c>
      <c r="I11" s="11">
        <f t="shared" si="12"/>
        <v>-390.16716176935552</v>
      </c>
      <c r="J11" s="10">
        <f t="shared" si="10"/>
        <v>-497.18899479691504</v>
      </c>
      <c r="K11" s="10">
        <f t="shared" si="2"/>
        <v>155569.67571294529</v>
      </c>
      <c r="L11" s="11">
        <f t="shared" si="3"/>
        <v>-438.33333333333331</v>
      </c>
      <c r="M11" s="11"/>
      <c r="N11" s="11">
        <f t="shared" si="4"/>
        <v>-1325.6894898996038</v>
      </c>
      <c r="O11" s="11"/>
      <c r="P11" s="11">
        <f t="shared" si="5"/>
        <v>108078.67884225775</v>
      </c>
      <c r="Q11" s="11">
        <f t="shared" si="6"/>
        <v>-850</v>
      </c>
      <c r="R11" s="11">
        <f t="shared" si="7"/>
        <v>475.68948989960381</v>
      </c>
      <c r="S11" s="11">
        <f t="shared" si="11"/>
        <v>4281.2054090964339</v>
      </c>
      <c r="T11" s="12"/>
      <c r="U11" s="10">
        <f t="shared" si="13"/>
        <v>-100000</v>
      </c>
      <c r="V11" s="13">
        <f t="shared" si="8"/>
        <v>245999.99999999997</v>
      </c>
      <c r="W11" s="10">
        <f t="shared" si="1"/>
        <v>155569.67571294529</v>
      </c>
      <c r="X11" s="10">
        <f t="shared" si="9"/>
        <v>-9569.6757129453181</v>
      </c>
      <c r="Z11" s="2"/>
      <c r="AA11" s="2"/>
      <c r="AB11" s="4"/>
      <c r="AC11" s="2"/>
      <c r="AD11" s="2"/>
      <c r="AE11" s="2"/>
      <c r="AF11" s="2"/>
    </row>
    <row r="12" spans="2:32" x14ac:dyDescent="0.25">
      <c r="B12" t="s">
        <v>7</v>
      </c>
      <c r="C12" s="7">
        <v>0.03</v>
      </c>
      <c r="D12" s="9">
        <f>C12/12</f>
        <v>2.5000000000000001E-3</v>
      </c>
      <c r="E12" s="9"/>
      <c r="F12" s="2">
        <v>1</v>
      </c>
      <c r="G12" s="2">
        <v>10</v>
      </c>
      <c r="H12" s="10">
        <f t="shared" si="0"/>
        <v>-887.35615656627056</v>
      </c>
      <c r="I12" s="11">
        <f t="shared" si="12"/>
        <v>-388.92418928236322</v>
      </c>
      <c r="J12" s="10">
        <f t="shared" si="10"/>
        <v>-498.43196728390734</v>
      </c>
      <c r="K12" s="10">
        <f t="shared" si="2"/>
        <v>155071.24374566137</v>
      </c>
      <c r="L12" s="11">
        <f t="shared" si="3"/>
        <v>-438.33333333333331</v>
      </c>
      <c r="M12" s="11"/>
      <c r="N12" s="11">
        <f t="shared" si="4"/>
        <v>-1325.6894898996038</v>
      </c>
      <c r="O12" s="11"/>
      <c r="P12" s="11">
        <f t="shared" si="5"/>
        <v>108994.69424813389</v>
      </c>
      <c r="Q12" s="11">
        <f t="shared" si="6"/>
        <v>-850</v>
      </c>
      <c r="R12" s="11">
        <f t="shared" si="7"/>
        <v>475.68948989960381</v>
      </c>
      <c r="S12" s="11">
        <f t="shared" si="11"/>
        <v>4756.8948989960372</v>
      </c>
      <c r="T12" s="12"/>
      <c r="U12" s="10">
        <f t="shared" si="13"/>
        <v>-100000</v>
      </c>
      <c r="V12" s="13">
        <f t="shared" si="8"/>
        <v>245999.99999999997</v>
      </c>
      <c r="W12" s="10">
        <f t="shared" si="1"/>
        <v>155071.24374566137</v>
      </c>
      <c r="X12" s="10">
        <f t="shared" si="9"/>
        <v>-9071.2437456613989</v>
      </c>
      <c r="Z12" s="2"/>
      <c r="AA12" s="2"/>
      <c r="AB12" s="4"/>
      <c r="AC12" s="2"/>
      <c r="AD12" s="2"/>
      <c r="AE12" s="2"/>
      <c r="AF12" s="2"/>
    </row>
    <row r="13" spans="2:32" x14ac:dyDescent="0.25">
      <c r="B13" t="s">
        <v>8</v>
      </c>
      <c r="C13">
        <v>20</v>
      </c>
      <c r="D13" s="8">
        <f>C13*12</f>
        <v>240</v>
      </c>
      <c r="E13" s="8"/>
      <c r="F13" s="2">
        <v>1</v>
      </c>
      <c r="G13" s="2">
        <v>11</v>
      </c>
      <c r="H13" s="10">
        <f t="shared" si="0"/>
        <v>-887.35615656627056</v>
      </c>
      <c r="I13" s="11">
        <f t="shared" si="12"/>
        <v>-387.67810936415344</v>
      </c>
      <c r="J13" s="10">
        <f t="shared" si="10"/>
        <v>-499.67804720211711</v>
      </c>
      <c r="K13" s="10">
        <f t="shared" si="2"/>
        <v>154571.56569845925</v>
      </c>
      <c r="L13" s="11">
        <f t="shared" si="3"/>
        <v>-438.33333333333331</v>
      </c>
      <c r="M13" s="11"/>
      <c r="N13" s="11">
        <f t="shared" si="4"/>
        <v>-1325.6894898996038</v>
      </c>
      <c r="O13" s="11"/>
      <c r="P13" s="11">
        <f t="shared" si="5"/>
        <v>109914.4416141613</v>
      </c>
      <c r="Q13" s="11">
        <f t="shared" si="6"/>
        <v>-850</v>
      </c>
      <c r="R13" s="11">
        <f t="shared" si="7"/>
        <v>475.68948989960381</v>
      </c>
      <c r="S13" s="11">
        <f t="shared" si="11"/>
        <v>5232.5843888956406</v>
      </c>
      <c r="T13" s="12"/>
      <c r="U13" s="10">
        <f t="shared" si="13"/>
        <v>-100000</v>
      </c>
      <c r="V13" s="13">
        <f t="shared" si="8"/>
        <v>245999.99999999997</v>
      </c>
      <c r="W13" s="10">
        <f t="shared" si="1"/>
        <v>154571.56569845925</v>
      </c>
      <c r="X13" s="10">
        <f t="shared" si="9"/>
        <v>-8571.5656984592788</v>
      </c>
      <c r="Z13" s="2"/>
      <c r="AA13" s="2"/>
      <c r="AB13" s="4"/>
      <c r="AC13" s="2"/>
      <c r="AD13" s="2"/>
      <c r="AE13" s="2"/>
      <c r="AF13" s="2"/>
    </row>
    <row r="14" spans="2:32" x14ac:dyDescent="0.25">
      <c r="B14" t="s">
        <v>32</v>
      </c>
      <c r="C14" s="3">
        <f>C11*(D12*(1+D12)^D13)/((1+D12)^D13-1)</f>
        <v>887.35615656627056</v>
      </c>
      <c r="F14" s="2">
        <v>1</v>
      </c>
      <c r="G14" s="2">
        <v>12</v>
      </c>
      <c r="H14" s="10">
        <f t="shared" si="0"/>
        <v>-887.35615656627056</v>
      </c>
      <c r="I14" s="11">
        <f t="shared" si="12"/>
        <v>-386.42891424614811</v>
      </c>
      <c r="J14" s="10">
        <f t="shared" si="10"/>
        <v>-500.92724232012245</v>
      </c>
      <c r="K14" s="10">
        <f t="shared" si="2"/>
        <v>154070.63845613913</v>
      </c>
      <c r="L14" s="11">
        <f t="shared" si="3"/>
        <v>-438.33333333333331</v>
      </c>
      <c r="M14" s="11"/>
      <c r="N14" s="11">
        <f t="shared" si="4"/>
        <v>-1325.6894898996038</v>
      </c>
      <c r="O14" s="11"/>
      <c r="P14" s="11">
        <f t="shared" si="5"/>
        <v>110837.93614480759</v>
      </c>
      <c r="Q14" s="11">
        <f t="shared" si="6"/>
        <v>-850</v>
      </c>
      <c r="R14" s="11">
        <f t="shared" si="7"/>
        <v>475.68948989960381</v>
      </c>
      <c r="S14" s="11">
        <f t="shared" si="11"/>
        <v>5708.2738787952439</v>
      </c>
      <c r="T14" s="12"/>
      <c r="U14" s="10">
        <f t="shared" si="13"/>
        <v>-100000</v>
      </c>
      <c r="V14" s="13">
        <f t="shared" si="8"/>
        <v>245999.99999999997</v>
      </c>
      <c r="W14" s="10">
        <f t="shared" si="1"/>
        <v>154070.63845613913</v>
      </c>
      <c r="X14" s="10">
        <f t="shared" si="9"/>
        <v>-8070.6384561391606</v>
      </c>
      <c r="Z14" s="2"/>
      <c r="AA14" s="2"/>
      <c r="AB14" s="4"/>
      <c r="AC14" s="2"/>
      <c r="AD14" s="2"/>
      <c r="AE14" s="2"/>
      <c r="AF14" s="2"/>
    </row>
    <row r="15" spans="2:32" x14ac:dyDescent="0.25">
      <c r="B15" t="s">
        <v>23</v>
      </c>
      <c r="C15" s="2">
        <v>1200</v>
      </c>
      <c r="F15" s="2">
        <f>F3+1</f>
        <v>2</v>
      </c>
      <c r="G15" s="2">
        <f>G3</f>
        <v>1</v>
      </c>
      <c r="H15" s="10">
        <f t="shared" si="0"/>
        <v>-887.35615656627056</v>
      </c>
      <c r="I15" s="11">
        <f t="shared" si="12"/>
        <v>-385.17659614034784</v>
      </c>
      <c r="J15" s="10">
        <f t="shared" si="10"/>
        <v>-502.17956042592272</v>
      </c>
      <c r="K15" s="10">
        <f t="shared" si="2"/>
        <v>153568.45889571321</v>
      </c>
      <c r="L15" s="11">
        <f t="shared" si="3"/>
        <v>-445.45833333333331</v>
      </c>
      <c r="M15" s="11"/>
      <c r="N15" s="11">
        <f t="shared" si="4"/>
        <v>-1332.8144898996038</v>
      </c>
      <c r="O15" s="11"/>
      <c r="P15" s="11">
        <f t="shared" si="5"/>
        <v>111755.31810648527</v>
      </c>
      <c r="Q15" s="11">
        <f t="shared" si="6"/>
        <v>-867</v>
      </c>
      <c r="R15" s="11">
        <f t="shared" si="7"/>
        <v>465.81448989960381</v>
      </c>
      <c r="S15" s="11">
        <f t="shared" si="11"/>
        <v>6174.0883686948473</v>
      </c>
      <c r="T15" s="12"/>
      <c r="U15" s="10">
        <f t="shared" si="13"/>
        <v>-100000</v>
      </c>
      <c r="V15" s="13">
        <f t="shared" si="8"/>
        <v>252149.99999999997</v>
      </c>
      <c r="W15" s="10">
        <f t="shared" si="1"/>
        <v>153568.45889571321</v>
      </c>
      <c r="X15" s="10">
        <f t="shared" si="9"/>
        <v>-1418.4588957132364</v>
      </c>
      <c r="Z15" s="2"/>
      <c r="AA15" s="2"/>
      <c r="AB15" s="4"/>
      <c r="AC15" s="2"/>
      <c r="AD15" s="2"/>
      <c r="AE15" s="2"/>
      <c r="AF15" s="2"/>
    </row>
    <row r="16" spans="2:32" x14ac:dyDescent="0.25">
      <c r="B16" t="s">
        <v>24</v>
      </c>
      <c r="C16" s="2">
        <v>0</v>
      </c>
      <c r="F16" s="2">
        <f>F4+1</f>
        <v>2</v>
      </c>
      <c r="G16" s="2">
        <f>G4</f>
        <v>2</v>
      </c>
      <c r="H16" s="10">
        <f t="shared" si="0"/>
        <v>-887.35615656627056</v>
      </c>
      <c r="I16" s="11">
        <f t="shared" si="12"/>
        <v>-383.92114723928302</v>
      </c>
      <c r="J16" s="10">
        <f t="shared" si="10"/>
        <v>-503.43500932698754</v>
      </c>
      <c r="K16" s="10">
        <f t="shared" si="2"/>
        <v>153065.02388638622</v>
      </c>
      <c r="L16" s="11">
        <f t="shared" si="3"/>
        <v>-445.45833333333331</v>
      </c>
      <c r="M16" s="11"/>
      <c r="N16" s="11">
        <f t="shared" si="4"/>
        <v>-1332.8144898996038</v>
      </c>
      <c r="O16" s="11"/>
      <c r="P16" s="11">
        <f t="shared" si="5"/>
        <v>112676.4375958317</v>
      </c>
      <c r="Q16" s="11">
        <f t="shared" si="6"/>
        <v>-867</v>
      </c>
      <c r="R16" s="11">
        <f t="shared" si="7"/>
        <v>465.81448989960381</v>
      </c>
      <c r="S16" s="11">
        <f t="shared" si="11"/>
        <v>6639.9028585944507</v>
      </c>
      <c r="T16" s="12"/>
      <c r="U16" s="10">
        <f t="shared" si="13"/>
        <v>-100000</v>
      </c>
      <c r="V16" s="13">
        <f t="shared" si="8"/>
        <v>252149.99999999997</v>
      </c>
      <c r="W16" s="10">
        <f t="shared" si="1"/>
        <v>153065.02388638622</v>
      </c>
      <c r="X16" s="10">
        <f t="shared" si="9"/>
        <v>-915.02388638624689</v>
      </c>
      <c r="Z16" s="2"/>
      <c r="AA16" s="2"/>
      <c r="AB16" s="4"/>
      <c r="AC16" s="2"/>
      <c r="AD16" s="2"/>
      <c r="AE16" s="2"/>
      <c r="AF16" s="2"/>
    </row>
    <row r="17" spans="2:32" x14ac:dyDescent="0.25">
      <c r="B17" t="s">
        <v>25</v>
      </c>
      <c r="C17" s="7">
        <v>2.5000000000000001E-3</v>
      </c>
      <c r="F17" s="2">
        <f t="shared" ref="F17:F80" si="14">F5+1</f>
        <v>2</v>
      </c>
      <c r="G17" s="2">
        <f t="shared" ref="G17:G80" si="15">G5</f>
        <v>3</v>
      </c>
      <c r="H17" s="10">
        <f t="shared" si="0"/>
        <v>-887.35615656627056</v>
      </c>
      <c r="I17" s="11">
        <f t="shared" si="12"/>
        <v>-382.66255971596553</v>
      </c>
      <c r="J17" s="10">
        <f t="shared" si="10"/>
        <v>-504.69359685030503</v>
      </c>
      <c r="K17" s="10">
        <f t="shared" si="2"/>
        <v>152560.33028953592</v>
      </c>
      <c r="L17" s="11">
        <f t="shared" si="3"/>
        <v>-445.45833333333331</v>
      </c>
      <c r="M17" s="11"/>
      <c r="N17" s="11">
        <f t="shared" si="4"/>
        <v>-1332.8144898996038</v>
      </c>
      <c r="O17" s="11"/>
      <c r="P17" s="11">
        <f t="shared" si="5"/>
        <v>113601.30983999725</v>
      </c>
      <c r="Q17" s="11">
        <f t="shared" si="6"/>
        <v>-867</v>
      </c>
      <c r="R17" s="11">
        <f t="shared" si="7"/>
        <v>465.81448989960381</v>
      </c>
      <c r="S17" s="11">
        <f t="shared" si="11"/>
        <v>7105.717348494054</v>
      </c>
      <c r="T17" s="12"/>
      <c r="U17" s="10">
        <f t="shared" si="13"/>
        <v>-100000</v>
      </c>
      <c r="V17" s="13">
        <f t="shared" si="8"/>
        <v>252149.99999999997</v>
      </c>
      <c r="W17" s="10">
        <f t="shared" si="1"/>
        <v>152560.33028953592</v>
      </c>
      <c r="X17" s="10">
        <f t="shared" si="9"/>
        <v>-410.33028953595203</v>
      </c>
      <c r="Z17" s="2"/>
      <c r="AA17" s="2"/>
      <c r="AB17" s="4"/>
      <c r="AC17" s="2"/>
      <c r="AD17" s="2"/>
      <c r="AE17" s="2"/>
      <c r="AF17" s="2"/>
    </row>
    <row r="18" spans="2:32" x14ac:dyDescent="0.25">
      <c r="B18" t="s">
        <v>26</v>
      </c>
      <c r="C18">
        <v>1200</v>
      </c>
      <c r="F18" s="2">
        <f t="shared" si="14"/>
        <v>2</v>
      </c>
      <c r="G18" s="2">
        <f t="shared" si="15"/>
        <v>4</v>
      </c>
      <c r="H18" s="10">
        <f t="shared" si="0"/>
        <v>-887.35615656627056</v>
      </c>
      <c r="I18" s="11">
        <f t="shared" si="12"/>
        <v>-381.40082572383983</v>
      </c>
      <c r="J18" s="10">
        <f t="shared" si="10"/>
        <v>-505.95533084243073</v>
      </c>
      <c r="K18" s="10">
        <f t="shared" si="2"/>
        <v>152054.37495869349</v>
      </c>
      <c r="L18" s="11">
        <f t="shared" si="3"/>
        <v>-445.45833333333331</v>
      </c>
      <c r="M18" s="11"/>
      <c r="N18" s="11">
        <f t="shared" si="4"/>
        <v>-1332.8144898996038</v>
      </c>
      <c r="O18" s="11"/>
      <c r="P18" s="11">
        <f t="shared" si="5"/>
        <v>114529.9501281696</v>
      </c>
      <c r="Q18" s="11">
        <f t="shared" si="6"/>
        <v>-867</v>
      </c>
      <c r="R18" s="11">
        <f t="shared" si="7"/>
        <v>465.81448989960381</v>
      </c>
      <c r="S18" s="11">
        <f t="shared" si="11"/>
        <v>7571.5318383936574</v>
      </c>
      <c r="T18" s="12"/>
      <c r="U18" s="10">
        <f t="shared" si="13"/>
        <v>-100000</v>
      </c>
      <c r="V18" s="13">
        <f t="shared" si="8"/>
        <v>252149.99999999997</v>
      </c>
      <c r="W18" s="10">
        <f t="shared" si="1"/>
        <v>152054.37495869349</v>
      </c>
      <c r="X18" s="10">
        <f t="shared" si="9"/>
        <v>95.625041306484491</v>
      </c>
      <c r="Z18" s="2"/>
      <c r="AA18" s="2"/>
      <c r="AB18" s="4"/>
      <c r="AC18" s="2"/>
      <c r="AD18" s="2"/>
      <c r="AE18" s="2"/>
      <c r="AF18" s="2"/>
    </row>
    <row r="19" spans="2:32" x14ac:dyDescent="0.25">
      <c r="B19" t="s">
        <v>27</v>
      </c>
      <c r="C19" s="1">
        <v>0.02</v>
      </c>
      <c r="F19" s="2">
        <f t="shared" si="14"/>
        <v>2</v>
      </c>
      <c r="G19" s="2">
        <f t="shared" si="15"/>
        <v>5</v>
      </c>
      <c r="H19" s="10">
        <f t="shared" si="0"/>
        <v>-887.35615656627056</v>
      </c>
      <c r="I19" s="11">
        <f t="shared" si="12"/>
        <v>-380.13593739673371</v>
      </c>
      <c r="J19" s="10">
        <f t="shared" si="10"/>
        <v>-507.22021916953685</v>
      </c>
      <c r="K19" s="10">
        <f t="shared" si="2"/>
        <v>151547.15473952395</v>
      </c>
      <c r="L19" s="11">
        <f t="shared" si="3"/>
        <v>-445.45833333333331</v>
      </c>
      <c r="M19" s="11"/>
      <c r="N19" s="11">
        <f t="shared" si="4"/>
        <v>-1332.8144898996038</v>
      </c>
      <c r="O19" s="11"/>
      <c r="P19" s="11">
        <f t="shared" si="5"/>
        <v>115462.37381182644</v>
      </c>
      <c r="Q19" s="11">
        <f t="shared" si="6"/>
        <v>-867</v>
      </c>
      <c r="R19" s="11">
        <f t="shared" si="7"/>
        <v>465.81448989960381</v>
      </c>
      <c r="S19" s="11">
        <f t="shared" si="11"/>
        <v>8037.3463282932607</v>
      </c>
      <c r="T19" s="12"/>
      <c r="U19" s="10">
        <f t="shared" si="13"/>
        <v>-100000</v>
      </c>
      <c r="V19" s="13">
        <f t="shared" si="8"/>
        <v>252149.99999999997</v>
      </c>
      <c r="W19" s="10">
        <f t="shared" si="1"/>
        <v>151547.15473952395</v>
      </c>
      <c r="X19" s="10">
        <f>V19-W19+U19</f>
        <v>602.84526047602412</v>
      </c>
      <c r="Z19" s="2"/>
      <c r="AA19" s="2"/>
      <c r="AB19" s="4"/>
      <c r="AC19" s="2"/>
      <c r="AD19" s="2"/>
      <c r="AE19" s="2"/>
      <c r="AF19" s="2"/>
    </row>
    <row r="20" spans="2:32" x14ac:dyDescent="0.25">
      <c r="B20" t="s">
        <v>28</v>
      </c>
      <c r="C20" s="1">
        <v>0.01</v>
      </c>
      <c r="F20" s="2">
        <f t="shared" si="14"/>
        <v>2</v>
      </c>
      <c r="G20" s="2">
        <f t="shared" si="15"/>
        <v>6</v>
      </c>
      <c r="H20" s="10">
        <f t="shared" si="0"/>
        <v>-887.35615656627056</v>
      </c>
      <c r="I20" s="11">
        <f t="shared" si="12"/>
        <v>-378.86788684880986</v>
      </c>
      <c r="J20" s="10">
        <f t="shared" si="10"/>
        <v>-508.4882697174607</v>
      </c>
      <c r="K20" s="10">
        <f t="shared" si="2"/>
        <v>151038.66646980649</v>
      </c>
      <c r="L20" s="11">
        <f t="shared" si="3"/>
        <v>-445.45833333333331</v>
      </c>
      <c r="M20" s="11"/>
      <c r="N20" s="11">
        <f t="shared" si="4"/>
        <v>-1332.8144898996038</v>
      </c>
      <c r="O20" s="11"/>
      <c r="P20" s="11">
        <f t="shared" si="5"/>
        <v>116398.59630498932</v>
      </c>
      <c r="Q20" s="11">
        <f t="shared" si="6"/>
        <v>-867</v>
      </c>
      <c r="R20" s="11">
        <f t="shared" si="7"/>
        <v>465.81448989960381</v>
      </c>
      <c r="S20" s="11">
        <f t="shared" si="11"/>
        <v>8503.1608181928641</v>
      </c>
      <c r="T20" s="12"/>
      <c r="U20" s="10">
        <f t="shared" si="13"/>
        <v>-100000</v>
      </c>
      <c r="V20" s="13">
        <f t="shared" si="8"/>
        <v>252149.99999999997</v>
      </c>
      <c r="W20" s="10">
        <f t="shared" si="1"/>
        <v>151038.66646980649</v>
      </c>
      <c r="X20" s="10">
        <f t="shared" ref="X20:X62" si="16">V20-W20+U20</f>
        <v>1111.3335301934858</v>
      </c>
    </row>
    <row r="21" spans="2:32" x14ac:dyDescent="0.25">
      <c r="B21" t="s">
        <v>29</v>
      </c>
      <c r="C21" s="22">
        <v>2.5000000000000001E-2</v>
      </c>
      <c r="D21" s="9">
        <f>(1+C21)^(1/12)-1</f>
        <v>2.0598362698427408E-3</v>
      </c>
      <c r="F21" s="2">
        <f t="shared" si="14"/>
        <v>2</v>
      </c>
      <c r="G21" s="2">
        <f t="shared" si="15"/>
        <v>7</v>
      </c>
      <c r="H21" s="10">
        <f t="shared" si="0"/>
        <v>-887.35615656627056</v>
      </c>
      <c r="I21" s="11">
        <f t="shared" si="12"/>
        <v>-377.5966661745162</v>
      </c>
      <c r="J21" s="10">
        <f t="shared" si="10"/>
        <v>-509.75949039175435</v>
      </c>
      <c r="K21" s="10">
        <f t="shared" si="2"/>
        <v>150528.90697941472</v>
      </c>
      <c r="L21" s="11">
        <f t="shared" si="3"/>
        <v>-445.45833333333331</v>
      </c>
      <c r="M21" s="11"/>
      <c r="N21" s="11">
        <f t="shared" si="4"/>
        <v>-1332.8144898996038</v>
      </c>
      <c r="O21" s="11"/>
      <c r="P21" s="11">
        <f t="shared" si="5"/>
        <v>117338.63308447837</v>
      </c>
      <c r="Q21" s="11">
        <f t="shared" si="6"/>
        <v>-867</v>
      </c>
      <c r="R21" s="11">
        <f t="shared" si="7"/>
        <v>465.81448989960381</v>
      </c>
      <c r="S21" s="11">
        <f t="shared" si="11"/>
        <v>8968.9753080924675</v>
      </c>
      <c r="T21" s="12"/>
      <c r="U21" s="10">
        <f t="shared" si="13"/>
        <v>-100000</v>
      </c>
      <c r="V21" s="13">
        <f t="shared" si="8"/>
        <v>252149.99999999997</v>
      </c>
      <c r="W21" s="10">
        <f t="shared" si="1"/>
        <v>150528.90697941472</v>
      </c>
      <c r="X21" s="10">
        <f t="shared" si="16"/>
        <v>1621.0930205852492</v>
      </c>
    </row>
    <row r="22" spans="2:32" x14ac:dyDescent="0.25">
      <c r="B22" t="s">
        <v>30</v>
      </c>
      <c r="C22" s="1">
        <v>0.05</v>
      </c>
      <c r="F22" s="2">
        <f t="shared" si="14"/>
        <v>2</v>
      </c>
      <c r="G22" s="2">
        <f t="shared" si="15"/>
        <v>8</v>
      </c>
      <c r="H22" s="10">
        <f t="shared" si="0"/>
        <v>-887.35615656627056</v>
      </c>
      <c r="I22" s="11">
        <f t="shared" si="12"/>
        <v>-376.32226744853682</v>
      </c>
      <c r="J22" s="10">
        <f t="shared" si="10"/>
        <v>-511.03388911773374</v>
      </c>
      <c r="K22" s="10">
        <f t="shared" si="2"/>
        <v>150017.87309029698</v>
      </c>
      <c r="L22" s="11">
        <f t="shared" si="3"/>
        <v>-445.45833333333331</v>
      </c>
      <c r="M22" s="11"/>
      <c r="N22" s="11">
        <f t="shared" si="4"/>
        <v>-1332.8144898996038</v>
      </c>
      <c r="O22" s="11"/>
      <c r="P22" s="11">
        <f t="shared" si="5"/>
        <v>118282.49969016823</v>
      </c>
      <c r="Q22" s="11">
        <f t="shared" si="6"/>
        <v>-867</v>
      </c>
      <c r="R22" s="11">
        <f t="shared" si="7"/>
        <v>465.81448989960381</v>
      </c>
      <c r="S22" s="11">
        <f t="shared" si="11"/>
        <v>9434.7897979920708</v>
      </c>
      <c r="T22" s="12"/>
      <c r="U22" s="10">
        <f t="shared" si="13"/>
        <v>-100000</v>
      </c>
      <c r="V22" s="13">
        <f t="shared" si="8"/>
        <v>252149.99999999997</v>
      </c>
      <c r="W22" s="10">
        <f t="shared" si="1"/>
        <v>150017.87309029698</v>
      </c>
      <c r="X22" s="10">
        <f t="shared" si="16"/>
        <v>2132.1269097029872</v>
      </c>
    </row>
    <row r="23" spans="2:32" x14ac:dyDescent="0.25">
      <c r="F23" s="2">
        <f t="shared" si="14"/>
        <v>2</v>
      </c>
      <c r="G23" s="2">
        <f t="shared" si="15"/>
        <v>9</v>
      </c>
      <c r="H23" s="10">
        <f t="shared" si="0"/>
        <v>-887.35615656627056</v>
      </c>
      <c r="I23" s="11">
        <f t="shared" si="12"/>
        <v>-375.04468272574246</v>
      </c>
      <c r="J23" s="10">
        <f t="shared" si="10"/>
        <v>-512.31147384052815</v>
      </c>
      <c r="K23" s="10">
        <f t="shared" si="2"/>
        <v>149505.56161645646</v>
      </c>
      <c r="L23" s="11">
        <f t="shared" si="3"/>
        <v>-445.45833333333331</v>
      </c>
      <c r="M23" s="11"/>
      <c r="N23" s="11">
        <f t="shared" si="4"/>
        <v>-1332.8144898996038</v>
      </c>
      <c r="O23" s="11"/>
      <c r="P23" s="11">
        <f t="shared" si="5"/>
        <v>119230.21172524494</v>
      </c>
      <c r="Q23" s="11">
        <f t="shared" si="6"/>
        <v>-867</v>
      </c>
      <c r="R23" s="11">
        <f t="shared" si="7"/>
        <v>465.81448989960381</v>
      </c>
      <c r="S23" s="11">
        <f t="shared" si="11"/>
        <v>9900.6042878916742</v>
      </c>
      <c r="T23" s="12"/>
      <c r="U23" s="10">
        <f t="shared" si="13"/>
        <v>-100000</v>
      </c>
      <c r="V23" s="13">
        <f t="shared" si="8"/>
        <v>252149.99999999997</v>
      </c>
      <c r="W23" s="10">
        <f t="shared" si="1"/>
        <v>149505.56161645646</v>
      </c>
      <c r="X23" s="10">
        <f t="shared" si="16"/>
        <v>2644.4383835435146</v>
      </c>
      <c r="Z23" s="2"/>
      <c r="AA23" s="2"/>
      <c r="AB23" s="4"/>
      <c r="AC23" s="2"/>
      <c r="AD23" s="2"/>
      <c r="AE23" s="2"/>
      <c r="AF23" s="2"/>
    </row>
    <row r="24" spans="2:32" x14ac:dyDescent="0.25">
      <c r="F24" s="2">
        <f t="shared" si="14"/>
        <v>2</v>
      </c>
      <c r="G24" s="2">
        <f t="shared" si="15"/>
        <v>10</v>
      </c>
      <c r="H24" s="10">
        <f t="shared" si="0"/>
        <v>-887.35615656627056</v>
      </c>
      <c r="I24" s="11">
        <f t="shared" si="12"/>
        <v>-373.76390404114113</v>
      </c>
      <c r="J24" s="10">
        <f t="shared" si="10"/>
        <v>-513.59225252512942</v>
      </c>
      <c r="K24" s="10">
        <f t="shared" si="2"/>
        <v>148991.96936393133</v>
      </c>
      <c r="L24" s="11">
        <f t="shared" si="3"/>
        <v>-445.45833333333331</v>
      </c>
      <c r="M24" s="11"/>
      <c r="N24" s="11">
        <f t="shared" si="4"/>
        <v>-1332.8144898996038</v>
      </c>
      <c r="O24" s="11"/>
      <c r="P24" s="11">
        <f t="shared" si="5"/>
        <v>120181.7848564638</v>
      </c>
      <c r="Q24" s="11">
        <f t="shared" si="6"/>
        <v>-867</v>
      </c>
      <c r="R24" s="11">
        <f t="shared" si="7"/>
        <v>465.81448989960381</v>
      </c>
      <c r="S24" s="11">
        <f t="shared" si="11"/>
        <v>10366.418777791278</v>
      </c>
      <c r="T24" s="12"/>
      <c r="U24" s="10">
        <f t="shared" si="13"/>
        <v>-100000</v>
      </c>
      <c r="V24" s="13">
        <f t="shared" si="8"/>
        <v>252149.99999999997</v>
      </c>
      <c r="W24" s="10">
        <f t="shared" si="1"/>
        <v>148991.96936393133</v>
      </c>
      <c r="X24" s="10">
        <f t="shared" si="16"/>
        <v>3158.0306360686372</v>
      </c>
      <c r="Z24" s="2"/>
      <c r="AA24" s="2"/>
      <c r="AB24" s="12"/>
      <c r="AC24" s="10"/>
      <c r="AD24" s="2"/>
      <c r="AE24" s="2"/>
      <c r="AF24" s="10"/>
    </row>
    <row r="25" spans="2:32" x14ac:dyDescent="0.25">
      <c r="B25" t="s">
        <v>35</v>
      </c>
      <c r="C25">
        <v>5</v>
      </c>
      <c r="F25" s="2">
        <f t="shared" si="14"/>
        <v>2</v>
      </c>
      <c r="G25" s="2">
        <f t="shared" si="15"/>
        <v>11</v>
      </c>
      <c r="H25" s="10">
        <f t="shared" si="0"/>
        <v>-887.35615656627056</v>
      </c>
      <c r="I25" s="11">
        <f t="shared" si="12"/>
        <v>-372.47992340982836</v>
      </c>
      <c r="J25" s="10">
        <f t="shared" si="10"/>
        <v>-514.87623315644214</v>
      </c>
      <c r="K25" s="10">
        <f t="shared" si="2"/>
        <v>148477.09313077488</v>
      </c>
      <c r="L25" s="11">
        <f t="shared" si="3"/>
        <v>-445.45833333333331</v>
      </c>
      <c r="M25" s="11"/>
      <c r="N25" s="11">
        <f t="shared" si="4"/>
        <v>-1332.8144898996038</v>
      </c>
      <c r="O25" s="11"/>
      <c r="P25" s="11">
        <f t="shared" si="5"/>
        <v>121137.23481440844</v>
      </c>
      <c r="Q25" s="11">
        <f t="shared" si="6"/>
        <v>-867</v>
      </c>
      <c r="R25" s="11">
        <f t="shared" si="7"/>
        <v>465.81448989960381</v>
      </c>
      <c r="S25" s="11">
        <f t="shared" si="11"/>
        <v>10832.233267690881</v>
      </c>
      <c r="T25" s="12"/>
      <c r="U25" s="10">
        <f t="shared" si="13"/>
        <v>-100000</v>
      </c>
      <c r="V25" s="13">
        <f t="shared" si="8"/>
        <v>252149.99999999997</v>
      </c>
      <c r="W25" s="10">
        <f t="shared" si="1"/>
        <v>148477.09313077488</v>
      </c>
      <c r="X25" s="10">
        <f t="shared" si="16"/>
        <v>3672.9068692250876</v>
      </c>
      <c r="AB25" s="4"/>
      <c r="AC25" s="2"/>
    </row>
    <row r="26" spans="2:32" x14ac:dyDescent="0.25">
      <c r="B26" t="s">
        <v>36</v>
      </c>
      <c r="C26">
        <v>6</v>
      </c>
      <c r="F26" s="2">
        <f t="shared" si="14"/>
        <v>2</v>
      </c>
      <c r="G26" s="2">
        <f t="shared" si="15"/>
        <v>12</v>
      </c>
      <c r="H26" s="10">
        <f t="shared" si="0"/>
        <v>-887.35615656627056</v>
      </c>
      <c r="I26" s="11">
        <f t="shared" si="12"/>
        <v>-371.19273282693723</v>
      </c>
      <c r="J26" s="10">
        <f t="shared" si="10"/>
        <v>-516.16342373933333</v>
      </c>
      <c r="K26" s="10">
        <f t="shared" si="2"/>
        <v>147960.92970703554</v>
      </c>
      <c r="L26" s="11">
        <f t="shared" si="3"/>
        <v>-445.45833333333331</v>
      </c>
      <c r="M26" s="11"/>
      <c r="N26" s="11">
        <f t="shared" si="4"/>
        <v>-1332.8144898996038</v>
      </c>
      <c r="O26" s="11"/>
      <c r="P26" s="11">
        <f t="shared" si="5"/>
        <v>122096.57739375082</v>
      </c>
      <c r="Q26" s="11">
        <f t="shared" si="6"/>
        <v>-867</v>
      </c>
      <c r="R26" s="11">
        <f t="shared" si="7"/>
        <v>465.81448989960381</v>
      </c>
      <c r="S26" s="11">
        <f t="shared" si="11"/>
        <v>11298.047757590484</v>
      </c>
      <c r="T26" s="12"/>
      <c r="U26" s="10">
        <f t="shared" si="13"/>
        <v>-100000</v>
      </c>
      <c r="V26" s="13">
        <f t="shared" si="8"/>
        <v>252149.99999999997</v>
      </c>
      <c r="W26" s="10">
        <f t="shared" si="1"/>
        <v>147960.92970703554</v>
      </c>
      <c r="X26" s="10">
        <f t="shared" si="16"/>
        <v>4189.0702929644322</v>
      </c>
    </row>
    <row r="27" spans="2:32" x14ac:dyDescent="0.25">
      <c r="F27" s="2">
        <f t="shared" si="14"/>
        <v>3</v>
      </c>
      <c r="G27" s="2">
        <f t="shared" si="15"/>
        <v>1</v>
      </c>
      <c r="H27" s="10">
        <f t="shared" si="0"/>
        <v>-887.35615656627056</v>
      </c>
      <c r="I27" s="11">
        <f t="shared" si="12"/>
        <v>-369.90232426758888</v>
      </c>
      <c r="J27" s="10">
        <f t="shared" si="10"/>
        <v>-517.45383229868162</v>
      </c>
      <c r="K27" s="10">
        <f t="shared" si="2"/>
        <v>147443.47587473685</v>
      </c>
      <c r="L27" s="11">
        <f t="shared" si="3"/>
        <v>-452.75145833333329</v>
      </c>
      <c r="M27" s="11"/>
      <c r="N27" s="11">
        <f t="shared" si="4"/>
        <v>-1340.107614899604</v>
      </c>
      <c r="O27" s="11"/>
      <c r="P27" s="11">
        <f t="shared" si="5"/>
        <v>123049.78157851237</v>
      </c>
      <c r="Q27" s="11">
        <f t="shared" si="6"/>
        <v>-884.34</v>
      </c>
      <c r="R27" s="11">
        <f t="shared" si="7"/>
        <v>455.76761489960393</v>
      </c>
      <c r="S27" s="11">
        <f t="shared" si="11"/>
        <v>11753.815372490088</v>
      </c>
      <c r="T27" s="12"/>
      <c r="U27" s="10">
        <f t="shared" si="13"/>
        <v>-100000</v>
      </c>
      <c r="V27" s="13">
        <f t="shared" si="8"/>
        <v>258453.74999999997</v>
      </c>
      <c r="W27" s="10">
        <f t="shared" si="1"/>
        <v>147443.47587473685</v>
      </c>
      <c r="X27" s="10">
        <f t="shared" si="16"/>
        <v>11010.274125263124</v>
      </c>
    </row>
    <row r="28" spans="2:32" x14ac:dyDescent="0.25">
      <c r="F28" s="2">
        <f t="shared" si="14"/>
        <v>3</v>
      </c>
      <c r="G28" s="2">
        <f t="shared" si="15"/>
        <v>2</v>
      </c>
      <c r="H28" s="10">
        <f t="shared" si="0"/>
        <v>-887.35615656627056</v>
      </c>
      <c r="I28" s="11">
        <f t="shared" si="12"/>
        <v>-368.60868968684213</v>
      </c>
      <c r="J28" s="10">
        <f t="shared" si="10"/>
        <v>-518.74746687942843</v>
      </c>
      <c r="K28" s="10">
        <f t="shared" si="2"/>
        <v>146924.72840785742</v>
      </c>
      <c r="L28" s="11">
        <f t="shared" si="3"/>
        <v>-452.75145833333329</v>
      </c>
      <c r="M28" s="11"/>
      <c r="N28" s="11">
        <f t="shared" si="4"/>
        <v>-1340.107614899604</v>
      </c>
      <c r="O28" s="11"/>
      <c r="P28" s="11">
        <f t="shared" si="5"/>
        <v>124006.86923511373</v>
      </c>
      <c r="Q28" s="11">
        <f t="shared" si="6"/>
        <v>-884.34</v>
      </c>
      <c r="R28" s="11">
        <f t="shared" si="7"/>
        <v>455.76761489960393</v>
      </c>
      <c r="S28" s="11">
        <f t="shared" si="11"/>
        <v>12209.582987389691</v>
      </c>
      <c r="T28" s="12"/>
      <c r="U28" s="10">
        <f t="shared" si="13"/>
        <v>-100000</v>
      </c>
      <c r="V28" s="13">
        <f t="shared" si="8"/>
        <v>258453.74999999997</v>
      </c>
      <c r="W28" s="10">
        <f t="shared" si="1"/>
        <v>146924.72840785742</v>
      </c>
      <c r="X28" s="10">
        <f t="shared" si="16"/>
        <v>11529.021592142555</v>
      </c>
    </row>
    <row r="29" spans="2:32" x14ac:dyDescent="0.25">
      <c r="B29" t="s">
        <v>37</v>
      </c>
      <c r="C29" s="3">
        <f>-6*$D$12*K62</f>
        <v>-1927.4103990276651</v>
      </c>
      <c r="F29" s="2">
        <f t="shared" si="14"/>
        <v>3</v>
      </c>
      <c r="G29" s="2">
        <f t="shared" si="15"/>
        <v>3</v>
      </c>
      <c r="H29" s="10">
        <f t="shared" si="0"/>
        <v>-887.35615656627056</v>
      </c>
      <c r="I29" s="11">
        <f t="shared" si="12"/>
        <v>-367.31182101964356</v>
      </c>
      <c r="J29" s="10">
        <f t="shared" si="10"/>
        <v>-520.04433554662705</v>
      </c>
      <c r="K29" s="10">
        <f t="shared" si="2"/>
        <v>146404.68407231077</v>
      </c>
      <c r="L29" s="11">
        <f t="shared" si="3"/>
        <v>-452.75145833333329</v>
      </c>
      <c r="M29" s="11"/>
      <c r="N29" s="11">
        <f t="shared" si="4"/>
        <v>-1340.107614899604</v>
      </c>
      <c r="O29" s="11"/>
      <c r="P29" s="11">
        <f t="shared" si="5"/>
        <v>124967.85618529988</v>
      </c>
      <c r="Q29" s="11">
        <f t="shared" si="6"/>
        <v>-884.34</v>
      </c>
      <c r="R29" s="11">
        <f t="shared" si="7"/>
        <v>455.76761489960393</v>
      </c>
      <c r="S29" s="11">
        <f t="shared" si="11"/>
        <v>12665.350602289294</v>
      </c>
      <c r="T29" s="12"/>
      <c r="U29" s="10">
        <f t="shared" si="13"/>
        <v>-100000</v>
      </c>
      <c r="V29" s="13">
        <f t="shared" si="8"/>
        <v>258453.74999999997</v>
      </c>
      <c r="W29" s="10">
        <f t="shared" si="1"/>
        <v>146404.68407231077</v>
      </c>
      <c r="X29" s="10">
        <f t="shared" si="16"/>
        <v>12049.065927689197</v>
      </c>
    </row>
    <row r="30" spans="2:32" x14ac:dyDescent="0.25">
      <c r="B30" t="s">
        <v>34</v>
      </c>
      <c r="C30" s="20">
        <f>V62-$C$22*V62-K62+C29</f>
        <v>127539.6355381904</v>
      </c>
      <c r="F30" s="2">
        <f t="shared" si="14"/>
        <v>3</v>
      </c>
      <c r="G30" s="2">
        <f t="shared" si="15"/>
        <v>4</v>
      </c>
      <c r="H30" s="10">
        <f t="shared" si="0"/>
        <v>-887.35615656627056</v>
      </c>
      <c r="I30" s="11">
        <f t="shared" si="12"/>
        <v>-366.01171018077696</v>
      </c>
      <c r="J30" s="10">
        <f t="shared" si="10"/>
        <v>-521.3444463854936</v>
      </c>
      <c r="K30" s="10">
        <f t="shared" si="2"/>
        <v>145883.33962592529</v>
      </c>
      <c r="L30" s="11">
        <f t="shared" si="3"/>
        <v>-452.75145833333329</v>
      </c>
      <c r="M30" s="11"/>
      <c r="N30" s="11">
        <f t="shared" si="4"/>
        <v>-1340.107614899604</v>
      </c>
      <c r="O30" s="11"/>
      <c r="P30" s="11">
        <f t="shared" si="5"/>
        <v>125932.75831527557</v>
      </c>
      <c r="Q30" s="11">
        <f t="shared" si="6"/>
        <v>-884.34</v>
      </c>
      <c r="R30" s="11">
        <f t="shared" si="7"/>
        <v>455.76761489960393</v>
      </c>
      <c r="S30" s="11">
        <f t="shared" si="11"/>
        <v>13121.118217188898</v>
      </c>
      <c r="T30" s="12"/>
      <c r="U30" s="10">
        <f t="shared" si="13"/>
        <v>-100000</v>
      </c>
      <c r="V30" s="13">
        <f t="shared" si="8"/>
        <v>258453.74999999997</v>
      </c>
      <c r="W30" s="10">
        <f t="shared" si="1"/>
        <v>145883.33962592529</v>
      </c>
      <c r="X30" s="10">
        <f t="shared" si="16"/>
        <v>12570.41037407468</v>
      </c>
    </row>
    <row r="31" spans="2:32" x14ac:dyDescent="0.25">
      <c r="F31" s="2">
        <f t="shared" si="14"/>
        <v>3</v>
      </c>
      <c r="G31" s="2">
        <f t="shared" si="15"/>
        <v>5</v>
      </c>
      <c r="H31" s="10">
        <f t="shared" si="0"/>
        <v>-887.35615656627056</v>
      </c>
      <c r="I31" s="11">
        <f t="shared" si="12"/>
        <v>-364.70834906481326</v>
      </c>
      <c r="J31" s="10">
        <f t="shared" si="10"/>
        <v>-522.64780750145724</v>
      </c>
      <c r="K31" s="10">
        <f t="shared" si="2"/>
        <v>145360.69181842383</v>
      </c>
      <c r="L31" s="11">
        <f t="shared" si="3"/>
        <v>-452.75145833333329</v>
      </c>
      <c r="M31" s="11"/>
      <c r="N31" s="11">
        <f t="shared" si="4"/>
        <v>-1340.107614899604</v>
      </c>
      <c r="O31" s="11"/>
      <c r="P31" s="11">
        <f t="shared" si="5"/>
        <v>126901.59157596789</v>
      </c>
      <c r="Q31" s="11">
        <f t="shared" si="6"/>
        <v>-884.34</v>
      </c>
      <c r="R31" s="11">
        <f t="shared" si="7"/>
        <v>455.76761489960393</v>
      </c>
      <c r="S31" s="11">
        <f t="shared" si="11"/>
        <v>13576.885832088501</v>
      </c>
      <c r="T31" s="12"/>
      <c r="U31" s="10">
        <f t="shared" si="13"/>
        <v>-100000</v>
      </c>
      <c r="V31" s="13">
        <f t="shared" si="8"/>
        <v>258453.74999999997</v>
      </c>
      <c r="W31" s="10">
        <f t="shared" si="1"/>
        <v>145360.69181842383</v>
      </c>
      <c r="X31" s="10">
        <f t="shared" si="16"/>
        <v>13093.05818157614</v>
      </c>
    </row>
    <row r="32" spans="2:32" x14ac:dyDescent="0.25">
      <c r="B32" t="s">
        <v>38</v>
      </c>
      <c r="C32" s="1">
        <v>0.05</v>
      </c>
      <c r="D32" s="19">
        <f>(1+C32)^(1/12)-1</f>
        <v>4.0741237836483535E-3</v>
      </c>
      <c r="F32" s="2">
        <f t="shared" si="14"/>
        <v>3</v>
      </c>
      <c r="G32" s="2">
        <f t="shared" si="15"/>
        <v>6</v>
      </c>
      <c r="H32" s="10">
        <f t="shared" si="0"/>
        <v>-887.35615656627056</v>
      </c>
      <c r="I32" s="11">
        <f t="shared" si="12"/>
        <v>-363.40172954605958</v>
      </c>
      <c r="J32" s="10">
        <f t="shared" si="10"/>
        <v>-523.95442702021091</v>
      </c>
      <c r="K32" s="10">
        <f t="shared" si="2"/>
        <v>144836.73739140361</v>
      </c>
      <c r="L32" s="11">
        <f t="shared" si="3"/>
        <v>-452.75145833333329</v>
      </c>
      <c r="M32" s="11"/>
      <c r="N32" s="11">
        <f t="shared" si="4"/>
        <v>-1340.107614899604</v>
      </c>
      <c r="O32" s="11"/>
      <c r="P32" s="11">
        <f t="shared" si="5"/>
        <v>127874.37198328998</v>
      </c>
      <c r="Q32" s="11">
        <f t="shared" si="6"/>
        <v>-884.34</v>
      </c>
      <c r="R32" s="11">
        <f t="shared" si="7"/>
        <v>455.76761489960393</v>
      </c>
      <c r="S32" s="11">
        <f t="shared" si="11"/>
        <v>14032.653446988104</v>
      </c>
      <c r="T32" s="12"/>
      <c r="U32" s="10">
        <f t="shared" si="13"/>
        <v>-100000</v>
      </c>
      <c r="V32" s="13">
        <f t="shared" si="8"/>
        <v>258453.74999999997</v>
      </c>
      <c r="W32" s="10">
        <f t="shared" si="1"/>
        <v>144836.73739140361</v>
      </c>
      <c r="X32" s="10">
        <f t="shared" si="16"/>
        <v>13617.012608596357</v>
      </c>
    </row>
    <row r="33" spans="2:24" x14ac:dyDescent="0.25">
      <c r="B33" t="s">
        <v>47</v>
      </c>
      <c r="C33" s="1">
        <v>0.25</v>
      </c>
      <c r="F33" s="2">
        <f t="shared" si="14"/>
        <v>3</v>
      </c>
      <c r="G33" s="2">
        <f t="shared" si="15"/>
        <v>7</v>
      </c>
      <c r="H33" s="10">
        <f t="shared" si="0"/>
        <v>-887.35615656627056</v>
      </c>
      <c r="I33" s="11">
        <f t="shared" si="12"/>
        <v>-362.09184347850902</v>
      </c>
      <c r="J33" s="10">
        <f t="shared" si="10"/>
        <v>-525.26431308776159</v>
      </c>
      <c r="K33" s="10">
        <f t="shared" si="2"/>
        <v>144311.47307831584</v>
      </c>
      <c r="L33" s="11">
        <f t="shared" si="3"/>
        <v>-452.75145833333329</v>
      </c>
      <c r="M33" s="11"/>
      <c r="N33" s="11">
        <f t="shared" si="4"/>
        <v>-1340.107614899604</v>
      </c>
      <c r="O33" s="11"/>
      <c r="P33" s="11">
        <f t="shared" si="5"/>
        <v>128851.11561840581</v>
      </c>
      <c r="Q33" s="11">
        <f t="shared" si="6"/>
        <v>-884.34</v>
      </c>
      <c r="R33" s="11">
        <f t="shared" si="7"/>
        <v>455.76761489960393</v>
      </c>
      <c r="S33" s="11">
        <f t="shared" si="11"/>
        <v>14488.421061887708</v>
      </c>
      <c r="T33" s="12"/>
      <c r="U33" s="10">
        <f t="shared" si="13"/>
        <v>-100000</v>
      </c>
      <c r="V33" s="13">
        <f t="shared" si="8"/>
        <v>258453.74999999997</v>
      </c>
      <c r="W33" s="10">
        <f t="shared" si="1"/>
        <v>144311.47307831584</v>
      </c>
      <c r="X33" s="10">
        <f t="shared" si="16"/>
        <v>14142.276921684126</v>
      </c>
    </row>
    <row r="34" spans="2:24" x14ac:dyDescent="0.25">
      <c r="B34" t="s">
        <v>45</v>
      </c>
      <c r="C34">
        <v>850</v>
      </c>
      <c r="F34" s="2">
        <f t="shared" si="14"/>
        <v>3</v>
      </c>
      <c r="G34" s="2">
        <f t="shared" si="15"/>
        <v>8</v>
      </c>
      <c r="H34" s="10">
        <f t="shared" si="0"/>
        <v>-887.35615656627056</v>
      </c>
      <c r="I34" s="11">
        <f t="shared" si="12"/>
        <v>-360.7786826957896</v>
      </c>
      <c r="J34" s="10">
        <f t="shared" si="10"/>
        <v>-526.57747387048096</v>
      </c>
      <c r="K34" s="10">
        <f t="shared" si="2"/>
        <v>143784.89560444537</v>
      </c>
      <c r="L34" s="11">
        <f t="shared" si="3"/>
        <v>-452.75145833333329</v>
      </c>
      <c r="M34" s="11"/>
      <c r="N34" s="11">
        <f t="shared" si="4"/>
        <v>-1340.107614899604</v>
      </c>
      <c r="O34" s="11"/>
      <c r="P34" s="11">
        <f t="shared" si="5"/>
        <v>129831.83862799598</v>
      </c>
      <c r="Q34" s="11">
        <f t="shared" si="6"/>
        <v>-884.34</v>
      </c>
      <c r="R34" s="11">
        <f t="shared" si="7"/>
        <v>455.76761489960393</v>
      </c>
      <c r="S34" s="11">
        <f t="shared" si="11"/>
        <v>14944.188676787311</v>
      </c>
      <c r="T34" s="12"/>
      <c r="U34" s="10">
        <f t="shared" si="13"/>
        <v>-100000</v>
      </c>
      <c r="V34" s="13">
        <f t="shared" si="8"/>
        <v>258453.74999999997</v>
      </c>
      <c r="W34" s="10">
        <f t="shared" si="1"/>
        <v>143784.89560444537</v>
      </c>
      <c r="X34" s="10">
        <f t="shared" si="16"/>
        <v>14668.854395554605</v>
      </c>
    </row>
    <row r="35" spans="2:24" x14ac:dyDescent="0.25">
      <c r="B35" t="s">
        <v>46</v>
      </c>
      <c r="C35" s="1">
        <v>0.02</v>
      </c>
      <c r="F35" s="2">
        <f t="shared" si="14"/>
        <v>3</v>
      </c>
      <c r="G35" s="2">
        <f t="shared" si="15"/>
        <v>9</v>
      </c>
      <c r="H35" s="10">
        <f t="shared" si="0"/>
        <v>-887.35615656627056</v>
      </c>
      <c r="I35" s="11">
        <f t="shared" si="12"/>
        <v>-359.46223901111341</v>
      </c>
      <c r="J35" s="10">
        <f t="shared" si="10"/>
        <v>-527.89391755515715</v>
      </c>
      <c r="K35" s="10">
        <f t="shared" si="2"/>
        <v>143257.0016868902</v>
      </c>
      <c r="L35" s="11">
        <f t="shared" si="3"/>
        <v>-452.75145833333329</v>
      </c>
      <c r="M35" s="11"/>
      <c r="N35" s="11">
        <f t="shared" si="4"/>
        <v>-1340.107614899604</v>
      </c>
      <c r="O35" s="11"/>
      <c r="P35" s="11">
        <f t="shared" si="5"/>
        <v>130816.5572245247</v>
      </c>
      <c r="Q35" s="11">
        <f t="shared" si="6"/>
        <v>-884.34</v>
      </c>
      <c r="R35" s="11">
        <f t="shared" si="7"/>
        <v>455.76761489960393</v>
      </c>
      <c r="S35" s="11">
        <f t="shared" si="11"/>
        <v>15399.956291686914</v>
      </c>
      <c r="T35" s="12"/>
      <c r="U35" s="10">
        <f t="shared" si="13"/>
        <v>-100000</v>
      </c>
      <c r="V35" s="13">
        <f t="shared" si="8"/>
        <v>258453.74999999997</v>
      </c>
      <c r="W35" s="10">
        <f t="shared" ref="W35:W62" si="17">K35</f>
        <v>143257.0016868902</v>
      </c>
      <c r="X35" s="10">
        <f t="shared" si="16"/>
        <v>15196.748313109769</v>
      </c>
    </row>
    <row r="36" spans="2:24" x14ac:dyDescent="0.25">
      <c r="C36" s="3"/>
      <c r="F36" s="2">
        <f t="shared" si="14"/>
        <v>3</v>
      </c>
      <c r="G36" s="2">
        <f t="shared" si="15"/>
        <v>10</v>
      </c>
      <c r="H36" s="10">
        <f t="shared" si="0"/>
        <v>-887.35615656627056</v>
      </c>
      <c r="I36" s="11">
        <f t="shared" si="12"/>
        <v>-358.14250421722551</v>
      </c>
      <c r="J36" s="10">
        <f t="shared" si="10"/>
        <v>-529.21365234904511</v>
      </c>
      <c r="K36" s="10">
        <f t="shared" si="2"/>
        <v>142727.78803454115</v>
      </c>
      <c r="L36" s="11">
        <f t="shared" ref="L36:L62" si="18">-($C$15/12+$C$17*$C$11/12+$C$18/12*(1+$C$19)^($F36-1)+$C$20*V36/12)</f>
        <v>-452.75145833333329</v>
      </c>
      <c r="M36" s="11"/>
      <c r="N36" s="11">
        <f t="shared" si="4"/>
        <v>-1340.107614899604</v>
      </c>
      <c r="O36" s="11"/>
      <c r="P36" s="11">
        <f t="shared" si="5"/>
        <v>131805.28768650774</v>
      </c>
      <c r="Q36" s="11">
        <f t="shared" si="6"/>
        <v>-884.34</v>
      </c>
      <c r="R36" s="11">
        <f t="shared" si="7"/>
        <v>455.76761489960393</v>
      </c>
      <c r="S36" s="11">
        <f t="shared" si="11"/>
        <v>15855.723906586518</v>
      </c>
      <c r="T36" s="12"/>
      <c r="U36" s="10">
        <f t="shared" si="13"/>
        <v>-100000</v>
      </c>
      <c r="V36" s="13">
        <f t="shared" si="8"/>
        <v>258453.74999999997</v>
      </c>
      <c r="W36" s="10">
        <f t="shared" si="17"/>
        <v>142727.78803454115</v>
      </c>
      <c r="X36" s="10">
        <f t="shared" si="16"/>
        <v>15725.961965458817</v>
      </c>
    </row>
    <row r="37" spans="2:24" x14ac:dyDescent="0.25">
      <c r="C37" s="3"/>
      <c r="F37" s="2">
        <f t="shared" si="14"/>
        <v>3</v>
      </c>
      <c r="G37" s="2">
        <f t="shared" si="15"/>
        <v>11</v>
      </c>
      <c r="H37" s="10">
        <f t="shared" si="0"/>
        <v>-887.35615656627056</v>
      </c>
      <c r="I37" s="11">
        <f t="shared" si="12"/>
        <v>-356.81947008635291</v>
      </c>
      <c r="J37" s="10">
        <f t="shared" si="10"/>
        <v>-530.53668647991765</v>
      </c>
      <c r="K37" s="10">
        <f t="shared" si="2"/>
        <v>142197.25134806123</v>
      </c>
      <c r="L37" s="11">
        <f t="shared" si="18"/>
        <v>-452.75145833333329</v>
      </c>
      <c r="M37" s="11"/>
      <c r="N37" s="11">
        <f t="shared" si="4"/>
        <v>-1340.107614899604</v>
      </c>
      <c r="O37" s="11"/>
      <c r="P37" s="11">
        <f t="shared" si="5"/>
        <v>132798.04635878158</v>
      </c>
      <c r="Q37" s="11">
        <f t="shared" si="6"/>
        <v>-884.34</v>
      </c>
      <c r="R37" s="11">
        <f t="shared" si="7"/>
        <v>455.76761489960393</v>
      </c>
      <c r="S37" s="11">
        <f t="shared" si="11"/>
        <v>16311.491521486121</v>
      </c>
      <c r="T37" s="12"/>
      <c r="U37" s="10">
        <f t="shared" si="13"/>
        <v>-100000</v>
      </c>
      <c r="V37" s="13">
        <f t="shared" si="8"/>
        <v>258453.74999999997</v>
      </c>
      <c r="W37" s="10">
        <f t="shared" si="17"/>
        <v>142197.25134806123</v>
      </c>
      <c r="X37" s="10">
        <f t="shared" si="16"/>
        <v>16256.498651938746</v>
      </c>
    </row>
    <row r="38" spans="2:24" x14ac:dyDescent="0.25">
      <c r="C38" s="3"/>
      <c r="F38" s="2">
        <f t="shared" si="14"/>
        <v>3</v>
      </c>
      <c r="G38" s="2">
        <f t="shared" si="15"/>
        <v>12</v>
      </c>
      <c r="H38" s="10">
        <f t="shared" si="0"/>
        <v>-887.35615656627056</v>
      </c>
      <c r="I38" s="11">
        <f t="shared" si="12"/>
        <v>-355.49312837015304</v>
      </c>
      <c r="J38" s="10">
        <f t="shared" si="10"/>
        <v>-531.86302819611751</v>
      </c>
      <c r="K38" s="10">
        <f t="shared" si="2"/>
        <v>141665.3883198651</v>
      </c>
      <c r="L38" s="11">
        <f t="shared" si="18"/>
        <v>-452.75145833333329</v>
      </c>
      <c r="M38" s="11"/>
      <c r="N38" s="11">
        <f t="shared" si="4"/>
        <v>-1340.107614899604</v>
      </c>
      <c r="O38" s="11"/>
      <c r="P38" s="11">
        <f t="shared" si="5"/>
        <v>133794.84965277353</v>
      </c>
      <c r="Q38" s="11">
        <f t="shared" si="6"/>
        <v>-884.34</v>
      </c>
      <c r="R38" s="11">
        <f t="shared" si="7"/>
        <v>455.76761489960393</v>
      </c>
      <c r="S38" s="11">
        <f t="shared" si="11"/>
        <v>16767.259136385725</v>
      </c>
      <c r="T38" s="12"/>
      <c r="U38" s="10">
        <f t="shared" si="13"/>
        <v>-100000</v>
      </c>
      <c r="V38" s="13">
        <f t="shared" si="8"/>
        <v>258453.74999999997</v>
      </c>
      <c r="W38" s="10">
        <f t="shared" si="17"/>
        <v>141665.3883198651</v>
      </c>
      <c r="X38" s="10">
        <f t="shared" si="16"/>
        <v>16788.361680134869</v>
      </c>
    </row>
    <row r="39" spans="2:24" x14ac:dyDescent="0.25">
      <c r="C39" s="3"/>
      <c r="F39" s="2">
        <f t="shared" si="14"/>
        <v>4</v>
      </c>
      <c r="G39" s="2">
        <f t="shared" si="15"/>
        <v>1</v>
      </c>
      <c r="H39" s="10">
        <f t="shared" si="0"/>
        <v>-887.35615656627056</v>
      </c>
      <c r="I39" s="11">
        <f t="shared" si="12"/>
        <v>-354.16347079966278</v>
      </c>
      <c r="J39" s="10">
        <f t="shared" si="10"/>
        <v>-533.19268576660784</v>
      </c>
      <c r="K39" s="10">
        <f t="shared" si="2"/>
        <v>141132.19563409849</v>
      </c>
      <c r="L39" s="11">
        <f t="shared" si="18"/>
        <v>-460.21671145833329</v>
      </c>
      <c r="M39" s="11"/>
      <c r="N39" s="11">
        <f t="shared" si="4"/>
        <v>-1347.5728680246038</v>
      </c>
      <c r="O39" s="11"/>
      <c r="P39" s="11">
        <f t="shared" si="5"/>
        <v>134785.49249989816</v>
      </c>
      <c r="Q39" s="11">
        <f t="shared" si="6"/>
        <v>-902.02679999999998</v>
      </c>
      <c r="R39" s="11">
        <f t="shared" si="7"/>
        <v>445.54606802460387</v>
      </c>
      <c r="S39" s="11">
        <f t="shared" si="11"/>
        <v>17212.805204410328</v>
      </c>
      <c r="T39" s="12"/>
      <c r="U39" s="10">
        <f t="shared" si="13"/>
        <v>-100000</v>
      </c>
      <c r="V39" s="13">
        <f t="shared" si="8"/>
        <v>264915.09374999994</v>
      </c>
      <c r="W39" s="10">
        <f t="shared" si="17"/>
        <v>141132.19563409849</v>
      </c>
      <c r="X39" s="10">
        <f t="shared" si="16"/>
        <v>23782.898115901451</v>
      </c>
    </row>
    <row r="40" spans="2:24" x14ac:dyDescent="0.25">
      <c r="C40" s="3"/>
      <c r="F40" s="2">
        <f t="shared" si="14"/>
        <v>4</v>
      </c>
      <c r="G40" s="2">
        <f t="shared" si="15"/>
        <v>2</v>
      </c>
      <c r="H40" s="10">
        <f t="shared" si="0"/>
        <v>-887.35615656627056</v>
      </c>
      <c r="I40" s="11">
        <f t="shared" si="12"/>
        <v>-352.83048908524626</v>
      </c>
      <c r="J40" s="10">
        <f t="shared" si="10"/>
        <v>-534.52566748102436</v>
      </c>
      <c r="K40" s="10">
        <f t="shared" si="2"/>
        <v>140597.66996661745</v>
      </c>
      <c r="L40" s="11">
        <f t="shared" si="18"/>
        <v>-460.21671145833329</v>
      </c>
      <c r="M40" s="11"/>
      <c r="N40" s="11">
        <f t="shared" si="4"/>
        <v>-1347.5728680246038</v>
      </c>
      <c r="O40" s="11"/>
      <c r="P40" s="11">
        <f t="shared" si="5"/>
        <v>135780.17134860737</v>
      </c>
      <c r="Q40" s="11">
        <f t="shared" si="6"/>
        <v>-902.02679999999998</v>
      </c>
      <c r="R40" s="11">
        <f t="shared" si="7"/>
        <v>445.54606802460387</v>
      </c>
      <c r="S40" s="11">
        <f t="shared" si="11"/>
        <v>17658.351272434931</v>
      </c>
      <c r="T40" s="12"/>
      <c r="U40" s="10">
        <f t="shared" si="13"/>
        <v>-100000</v>
      </c>
      <c r="V40" s="13">
        <f t="shared" si="8"/>
        <v>264915.09374999994</v>
      </c>
      <c r="W40" s="10">
        <f t="shared" si="17"/>
        <v>140597.66996661745</v>
      </c>
      <c r="X40" s="10">
        <f t="shared" si="16"/>
        <v>24317.423783382488</v>
      </c>
    </row>
    <row r="41" spans="2:24" x14ac:dyDescent="0.25">
      <c r="C41" s="3"/>
      <c r="F41" s="2">
        <f t="shared" si="14"/>
        <v>4</v>
      </c>
      <c r="G41" s="2">
        <f t="shared" si="15"/>
        <v>3</v>
      </c>
      <c r="H41" s="10">
        <f t="shared" si="0"/>
        <v>-887.35615656627056</v>
      </c>
      <c r="I41" s="11">
        <f t="shared" si="12"/>
        <v>-351.49417491654361</v>
      </c>
      <c r="J41" s="10">
        <f t="shared" si="10"/>
        <v>-535.86198164972689</v>
      </c>
      <c r="K41" s="10">
        <f t="shared" si="2"/>
        <v>140061.80798496772</v>
      </c>
      <c r="L41" s="11">
        <f t="shared" si="18"/>
        <v>-460.21671145833329</v>
      </c>
      <c r="M41" s="11"/>
      <c r="N41" s="11">
        <f t="shared" si="4"/>
        <v>-1347.5728680246038</v>
      </c>
      <c r="O41" s="11"/>
      <c r="P41" s="11">
        <f t="shared" si="5"/>
        <v>136778.90264207119</v>
      </c>
      <c r="Q41" s="11">
        <f t="shared" si="6"/>
        <v>-902.02679999999998</v>
      </c>
      <c r="R41" s="11">
        <f t="shared" si="7"/>
        <v>445.54606802460387</v>
      </c>
      <c r="S41" s="11">
        <f t="shared" si="11"/>
        <v>18103.897340459534</v>
      </c>
      <c r="T41" s="12"/>
      <c r="U41" s="10">
        <f t="shared" si="13"/>
        <v>-100000</v>
      </c>
      <c r="V41" s="13">
        <f t="shared" si="8"/>
        <v>264915.09374999994</v>
      </c>
      <c r="W41" s="10">
        <f t="shared" si="17"/>
        <v>140061.80798496772</v>
      </c>
      <c r="X41" s="10">
        <f t="shared" si="16"/>
        <v>24853.285765032226</v>
      </c>
    </row>
    <row r="42" spans="2:24" x14ac:dyDescent="0.25">
      <c r="C42" s="3"/>
      <c r="F42" s="2">
        <f t="shared" si="14"/>
        <v>4</v>
      </c>
      <c r="G42" s="2">
        <f t="shared" si="15"/>
        <v>4</v>
      </c>
      <c r="H42" s="10">
        <f t="shared" si="0"/>
        <v>-887.35615656627056</v>
      </c>
      <c r="I42" s="11">
        <f t="shared" si="12"/>
        <v>-350.15451996241927</v>
      </c>
      <c r="J42" s="10">
        <f t="shared" si="10"/>
        <v>-537.20163660385128</v>
      </c>
      <c r="K42" s="10">
        <f t="shared" si="2"/>
        <v>139524.60634836386</v>
      </c>
      <c r="L42" s="11">
        <f t="shared" si="18"/>
        <v>-460.21671145833329</v>
      </c>
      <c r="M42" s="11"/>
      <c r="N42" s="11">
        <f t="shared" si="4"/>
        <v>-1347.5728680246038</v>
      </c>
      <c r="O42" s="11"/>
      <c r="P42" s="11">
        <f t="shared" si="5"/>
        <v>137781.70289045118</v>
      </c>
      <c r="Q42" s="11">
        <f t="shared" si="6"/>
        <v>-902.02679999999998</v>
      </c>
      <c r="R42" s="11">
        <f t="shared" si="7"/>
        <v>445.54606802460387</v>
      </c>
      <c r="S42" s="11">
        <f t="shared" si="11"/>
        <v>18549.443408484138</v>
      </c>
      <c r="T42" s="12"/>
      <c r="U42" s="10">
        <f t="shared" si="13"/>
        <v>-100000</v>
      </c>
      <c r="V42" s="13">
        <f t="shared" si="8"/>
        <v>264915.09374999994</v>
      </c>
      <c r="W42" s="10">
        <f t="shared" si="17"/>
        <v>139524.60634836386</v>
      </c>
      <c r="X42" s="10">
        <f t="shared" si="16"/>
        <v>25390.487401636085</v>
      </c>
    </row>
    <row r="43" spans="2:24" x14ac:dyDescent="0.25">
      <c r="C43" s="3"/>
      <c r="F43" s="2">
        <f t="shared" si="14"/>
        <v>4</v>
      </c>
      <c r="G43" s="2">
        <f t="shared" si="15"/>
        <v>5</v>
      </c>
      <c r="H43" s="10">
        <f t="shared" si="0"/>
        <v>-887.35615656627056</v>
      </c>
      <c r="I43" s="11">
        <f t="shared" si="12"/>
        <v>-348.81151587090966</v>
      </c>
      <c r="J43" s="10">
        <f t="shared" si="10"/>
        <v>-538.54464069536084</v>
      </c>
      <c r="K43" s="10">
        <f t="shared" si="2"/>
        <v>138986.0617076685</v>
      </c>
      <c r="L43" s="11">
        <f t="shared" si="18"/>
        <v>-460.21671145833329</v>
      </c>
      <c r="M43" s="11"/>
      <c r="N43" s="11">
        <f t="shared" si="4"/>
        <v>-1347.5728680246038</v>
      </c>
      <c r="O43" s="11"/>
      <c r="P43" s="11">
        <f t="shared" si="5"/>
        <v>138788.58867117335</v>
      </c>
      <c r="Q43" s="11">
        <f t="shared" si="6"/>
        <v>-902.02679999999998</v>
      </c>
      <c r="R43" s="11">
        <f t="shared" si="7"/>
        <v>445.54606802460387</v>
      </c>
      <c r="S43" s="11">
        <f t="shared" si="11"/>
        <v>18994.989476508741</v>
      </c>
      <c r="T43" s="12"/>
      <c r="U43" s="10">
        <f t="shared" si="13"/>
        <v>-100000</v>
      </c>
      <c r="V43" s="13">
        <f t="shared" si="8"/>
        <v>264915.09374999994</v>
      </c>
      <c r="W43" s="10">
        <f t="shared" si="17"/>
        <v>138986.0617076685</v>
      </c>
      <c r="X43" s="10">
        <f t="shared" si="16"/>
        <v>25929.032042331441</v>
      </c>
    </row>
    <row r="44" spans="2:24" x14ac:dyDescent="0.25">
      <c r="C44" s="3"/>
      <c r="F44" s="2">
        <f t="shared" si="14"/>
        <v>4</v>
      </c>
      <c r="G44" s="2">
        <f t="shared" si="15"/>
        <v>6</v>
      </c>
      <c r="H44" s="10">
        <f t="shared" si="0"/>
        <v>-887.35615656627056</v>
      </c>
      <c r="I44" s="11">
        <f t="shared" si="12"/>
        <v>-347.46515426917125</v>
      </c>
      <c r="J44" s="10">
        <f t="shared" si="10"/>
        <v>-539.89100229709925</v>
      </c>
      <c r="K44" s="10">
        <f t="shared" si="2"/>
        <v>138446.17070537139</v>
      </c>
      <c r="L44" s="11">
        <f t="shared" si="18"/>
        <v>-460.21671145833329</v>
      </c>
      <c r="M44" s="11"/>
      <c r="N44" s="11">
        <f t="shared" si="4"/>
        <v>-1347.5728680246038</v>
      </c>
      <c r="O44" s="11"/>
      <c r="P44" s="11">
        <f t="shared" si="5"/>
        <v>139799.57662920217</v>
      </c>
      <c r="Q44" s="11">
        <f t="shared" si="6"/>
        <v>-902.02679999999998</v>
      </c>
      <c r="R44" s="11">
        <f t="shared" si="7"/>
        <v>445.54606802460387</v>
      </c>
      <c r="S44" s="11">
        <f t="shared" si="11"/>
        <v>19440.535544533344</v>
      </c>
      <c r="T44" s="12"/>
      <c r="U44" s="10">
        <f t="shared" si="13"/>
        <v>-100000</v>
      </c>
      <c r="V44" s="13">
        <f t="shared" si="8"/>
        <v>264915.09374999994</v>
      </c>
      <c r="W44" s="10">
        <f t="shared" si="17"/>
        <v>138446.17070537139</v>
      </c>
      <c r="X44" s="10">
        <f t="shared" si="16"/>
        <v>26468.923044628551</v>
      </c>
    </row>
    <row r="45" spans="2:24" x14ac:dyDescent="0.25">
      <c r="C45" s="3"/>
      <c r="F45" s="2">
        <f t="shared" si="14"/>
        <v>4</v>
      </c>
      <c r="G45" s="2">
        <f t="shared" si="15"/>
        <v>7</v>
      </c>
      <c r="H45" s="10">
        <f t="shared" si="0"/>
        <v>-887.35615656627056</v>
      </c>
      <c r="I45" s="11">
        <f t="shared" si="12"/>
        <v>-346.1154267634285</v>
      </c>
      <c r="J45" s="10">
        <f t="shared" si="10"/>
        <v>-541.240729802842</v>
      </c>
      <c r="K45" s="10">
        <f t="shared" si="2"/>
        <v>137904.92997556855</v>
      </c>
      <c r="L45" s="11">
        <f t="shared" si="18"/>
        <v>-460.21671145833329</v>
      </c>
      <c r="M45" s="11"/>
      <c r="N45" s="11">
        <f t="shared" si="4"/>
        <v>-1347.5728680246038</v>
      </c>
      <c r="O45" s="11"/>
      <c r="P45" s="11">
        <f t="shared" si="5"/>
        <v>140814.68347731579</v>
      </c>
      <c r="Q45" s="11">
        <f t="shared" si="6"/>
        <v>-902.02679999999998</v>
      </c>
      <c r="R45" s="11">
        <f t="shared" si="7"/>
        <v>445.54606802460387</v>
      </c>
      <c r="S45" s="11">
        <f t="shared" si="11"/>
        <v>19886.081612557948</v>
      </c>
      <c r="T45" s="12"/>
      <c r="U45" s="10">
        <f t="shared" si="13"/>
        <v>-100000</v>
      </c>
      <c r="V45" s="13">
        <f t="shared" si="8"/>
        <v>264915.09374999994</v>
      </c>
      <c r="W45" s="10">
        <f t="shared" si="17"/>
        <v>137904.92997556855</v>
      </c>
      <c r="X45" s="10">
        <f t="shared" si="16"/>
        <v>27010.163774431392</v>
      </c>
    </row>
    <row r="46" spans="2:24" x14ac:dyDescent="0.25">
      <c r="C46" s="3"/>
      <c r="F46" s="2">
        <f t="shared" si="14"/>
        <v>4</v>
      </c>
      <c r="G46" s="2">
        <f t="shared" si="15"/>
        <v>8</v>
      </c>
      <c r="H46" s="10">
        <f t="shared" si="0"/>
        <v>-887.35615656627056</v>
      </c>
      <c r="I46" s="11">
        <f t="shared" si="12"/>
        <v>-344.76232493892138</v>
      </c>
      <c r="J46" s="10">
        <f t="shared" si="10"/>
        <v>-542.59383162734912</v>
      </c>
      <c r="K46" s="10">
        <f t="shared" si="2"/>
        <v>137362.33614394121</v>
      </c>
      <c r="L46" s="11">
        <f t="shared" si="18"/>
        <v>-460.21671145833329</v>
      </c>
      <c r="M46" s="11"/>
      <c r="N46" s="11">
        <f t="shared" si="4"/>
        <v>-1347.5728680246038</v>
      </c>
      <c r="O46" s="11"/>
      <c r="P46" s="11">
        <f t="shared" si="5"/>
        <v>141833.92599638226</v>
      </c>
      <c r="Q46" s="11">
        <f t="shared" si="6"/>
        <v>-902.02679999999998</v>
      </c>
      <c r="R46" s="11">
        <f t="shared" si="7"/>
        <v>445.54606802460387</v>
      </c>
      <c r="S46" s="11">
        <f t="shared" si="11"/>
        <v>20331.627680582551</v>
      </c>
      <c r="T46" s="12"/>
      <c r="U46" s="10">
        <f t="shared" si="13"/>
        <v>-100000</v>
      </c>
      <c r="V46" s="13">
        <f t="shared" si="8"/>
        <v>264915.09374999994</v>
      </c>
      <c r="W46" s="10">
        <f t="shared" si="17"/>
        <v>137362.33614394121</v>
      </c>
      <c r="X46" s="10">
        <f t="shared" si="16"/>
        <v>27552.757606058731</v>
      </c>
    </row>
    <row r="47" spans="2:24" x14ac:dyDescent="0.25">
      <c r="F47" s="2">
        <f t="shared" si="14"/>
        <v>4</v>
      </c>
      <c r="G47" s="2">
        <f t="shared" si="15"/>
        <v>9</v>
      </c>
      <c r="H47" s="10">
        <f t="shared" si="0"/>
        <v>-887.35615656627056</v>
      </c>
      <c r="I47" s="11">
        <f t="shared" si="12"/>
        <v>-343.40584035985302</v>
      </c>
      <c r="J47" s="10">
        <f t="shared" si="10"/>
        <v>-543.95031620641748</v>
      </c>
      <c r="K47" s="10">
        <f t="shared" si="2"/>
        <v>136818.3858277348</v>
      </c>
      <c r="L47" s="11">
        <f t="shared" si="18"/>
        <v>-460.21671145833329</v>
      </c>
      <c r="M47" s="11"/>
      <c r="N47" s="11">
        <f t="shared" si="4"/>
        <v>-1347.5728680246038</v>
      </c>
      <c r="O47" s="11"/>
      <c r="P47" s="11">
        <f t="shared" si="5"/>
        <v>142857.32103563697</v>
      </c>
      <c r="Q47" s="11">
        <f t="shared" si="6"/>
        <v>-902.02679999999998</v>
      </c>
      <c r="R47" s="11">
        <f t="shared" si="7"/>
        <v>445.54606802460387</v>
      </c>
      <c r="S47" s="11">
        <f t="shared" si="11"/>
        <v>20777.173748607154</v>
      </c>
      <c r="T47" s="12"/>
      <c r="U47" s="10">
        <f t="shared" si="13"/>
        <v>-100000</v>
      </c>
      <c r="V47" s="13">
        <f t="shared" si="8"/>
        <v>264915.09374999994</v>
      </c>
      <c r="W47" s="10">
        <f t="shared" si="17"/>
        <v>136818.3858277348</v>
      </c>
      <c r="X47" s="10">
        <f t="shared" si="16"/>
        <v>28096.707922265137</v>
      </c>
    </row>
    <row r="48" spans="2:24" x14ac:dyDescent="0.25">
      <c r="F48" s="2">
        <f t="shared" si="14"/>
        <v>4</v>
      </c>
      <c r="G48" s="2">
        <f t="shared" si="15"/>
        <v>10</v>
      </c>
      <c r="H48" s="10">
        <f t="shared" si="0"/>
        <v>-887.35615656627056</v>
      </c>
      <c r="I48" s="11">
        <f t="shared" si="12"/>
        <v>-342.045964569337</v>
      </c>
      <c r="J48" s="10">
        <f t="shared" si="10"/>
        <v>-545.31019199693355</v>
      </c>
      <c r="K48" s="10">
        <f t="shared" si="2"/>
        <v>136273.07563573789</v>
      </c>
      <c r="L48" s="11">
        <f t="shared" si="18"/>
        <v>-460.21671145833329</v>
      </c>
      <c r="M48" s="11"/>
      <c r="N48" s="11">
        <f t="shared" si="4"/>
        <v>-1347.5728680246038</v>
      </c>
      <c r="O48" s="11"/>
      <c r="P48" s="11">
        <f t="shared" si="5"/>
        <v>143884.88551296116</v>
      </c>
      <c r="Q48" s="11">
        <f t="shared" si="6"/>
        <v>-902.02679999999998</v>
      </c>
      <c r="R48" s="11">
        <f t="shared" si="7"/>
        <v>445.54606802460387</v>
      </c>
      <c r="S48" s="11">
        <f t="shared" si="11"/>
        <v>21222.719816631758</v>
      </c>
      <c r="T48" s="12"/>
      <c r="U48" s="10">
        <f t="shared" si="13"/>
        <v>-100000</v>
      </c>
      <c r="V48" s="13">
        <f t="shared" si="8"/>
        <v>264915.09374999994</v>
      </c>
      <c r="W48" s="10">
        <f t="shared" si="17"/>
        <v>136273.07563573789</v>
      </c>
      <c r="X48" s="10">
        <f t="shared" si="16"/>
        <v>28642.018114262057</v>
      </c>
    </row>
    <row r="49" spans="4:24" x14ac:dyDescent="0.25">
      <c r="F49" s="2">
        <f t="shared" si="14"/>
        <v>4</v>
      </c>
      <c r="G49" s="2">
        <f t="shared" si="15"/>
        <v>11</v>
      </c>
      <c r="H49" s="10">
        <f t="shared" si="0"/>
        <v>-887.35615656627056</v>
      </c>
      <c r="I49" s="11">
        <f t="shared" si="12"/>
        <v>-340.68268908934471</v>
      </c>
      <c r="J49" s="10">
        <f t="shared" si="10"/>
        <v>-546.67346747692591</v>
      </c>
      <c r="K49" s="10">
        <f t="shared" si="2"/>
        <v>135726.40216826095</v>
      </c>
      <c r="L49" s="11">
        <f t="shared" si="18"/>
        <v>-460.21671145833329</v>
      </c>
      <c r="M49" s="11"/>
      <c r="N49" s="11">
        <f t="shared" si="4"/>
        <v>-1347.5728680246038</v>
      </c>
      <c r="O49" s="11"/>
      <c r="P49" s="11">
        <f t="shared" si="5"/>
        <v>144916.63641516166</v>
      </c>
      <c r="Q49" s="11">
        <f t="shared" si="6"/>
        <v>-902.02679999999998</v>
      </c>
      <c r="R49" s="11">
        <f t="shared" si="7"/>
        <v>445.54606802460387</v>
      </c>
      <c r="S49" s="11">
        <f t="shared" si="11"/>
        <v>21668.265884656361</v>
      </c>
      <c r="T49" s="12"/>
      <c r="U49" s="10">
        <f t="shared" si="13"/>
        <v>-100000</v>
      </c>
      <c r="V49" s="13">
        <f t="shared" si="8"/>
        <v>264915.09374999994</v>
      </c>
      <c r="W49" s="10">
        <f t="shared" si="17"/>
        <v>135726.40216826095</v>
      </c>
      <c r="X49" s="10">
        <f t="shared" si="16"/>
        <v>29188.691581738996</v>
      </c>
    </row>
    <row r="50" spans="4:24" x14ac:dyDescent="0.25">
      <c r="F50" s="2">
        <f t="shared" si="14"/>
        <v>4</v>
      </c>
      <c r="G50" s="2">
        <f t="shared" si="15"/>
        <v>12</v>
      </c>
      <c r="H50" s="10">
        <f t="shared" si="0"/>
        <v>-887.35615656627056</v>
      </c>
      <c r="I50" s="11">
        <f t="shared" si="12"/>
        <v>-339.31600542065235</v>
      </c>
      <c r="J50" s="10">
        <f t="shared" si="10"/>
        <v>-548.04015114561821</v>
      </c>
      <c r="K50" s="10">
        <f t="shared" si="2"/>
        <v>135178.36201711532</v>
      </c>
      <c r="L50" s="11">
        <f t="shared" si="18"/>
        <v>-460.21671145833329</v>
      </c>
      <c r="M50" s="11"/>
      <c r="N50" s="11">
        <f t="shared" si="4"/>
        <v>-1347.5728680246038</v>
      </c>
      <c r="O50" s="11"/>
      <c r="P50" s="11">
        <f t="shared" si="5"/>
        <v>145952.59079825159</v>
      </c>
      <c r="Q50" s="11">
        <f t="shared" si="6"/>
        <v>-902.02679999999998</v>
      </c>
      <c r="R50" s="11">
        <f t="shared" si="7"/>
        <v>445.54606802460387</v>
      </c>
      <c r="S50" s="11">
        <f t="shared" si="11"/>
        <v>22113.811952680964</v>
      </c>
      <c r="T50" s="12"/>
      <c r="U50" s="10">
        <f t="shared" si="13"/>
        <v>-100000</v>
      </c>
      <c r="V50" s="13">
        <f t="shared" si="8"/>
        <v>264915.09374999994</v>
      </c>
      <c r="W50" s="10">
        <f t="shared" si="17"/>
        <v>135178.36201711532</v>
      </c>
      <c r="X50" s="10">
        <f t="shared" si="16"/>
        <v>29736.731732884626</v>
      </c>
    </row>
    <row r="51" spans="4:24" x14ac:dyDescent="0.25">
      <c r="F51" s="2">
        <f t="shared" si="14"/>
        <v>5</v>
      </c>
      <c r="G51" s="2">
        <f t="shared" si="15"/>
        <v>1</v>
      </c>
      <c r="H51" s="10">
        <f t="shared" si="0"/>
        <v>-887.35615656627056</v>
      </c>
      <c r="I51" s="11">
        <f t="shared" si="12"/>
        <v>-337.9459050427883</v>
      </c>
      <c r="J51" s="10">
        <f t="shared" si="10"/>
        <v>-549.4102515234822</v>
      </c>
      <c r="K51" s="10">
        <f t="shared" si="2"/>
        <v>134628.95176559183</v>
      </c>
      <c r="L51" s="11">
        <f t="shared" si="18"/>
        <v>-467.85819191145822</v>
      </c>
      <c r="M51" s="11"/>
      <c r="N51" s="11">
        <f t="shared" si="4"/>
        <v>-1355.2143484777289</v>
      </c>
      <c r="O51" s="11"/>
      <c r="P51" s="11">
        <f t="shared" si="5"/>
        <v>146982.36673218559</v>
      </c>
      <c r="Q51" s="11">
        <f t="shared" si="6"/>
        <v>-920.06733599999995</v>
      </c>
      <c r="R51" s="11">
        <f t="shared" si="7"/>
        <v>435.14701247772894</v>
      </c>
      <c r="S51" s="11">
        <f t="shared" si="11"/>
        <v>22548.958965158694</v>
      </c>
      <c r="T51" s="12"/>
      <c r="U51" s="10">
        <f t="shared" si="13"/>
        <v>-100000</v>
      </c>
      <c r="V51" s="13">
        <f t="shared" si="8"/>
        <v>271537.97109374992</v>
      </c>
      <c r="W51" s="10">
        <f t="shared" si="17"/>
        <v>134628.95176559183</v>
      </c>
      <c r="X51" s="10">
        <f t="shared" si="16"/>
        <v>36909.019328158087</v>
      </c>
    </row>
    <row r="52" spans="4:24" x14ac:dyDescent="0.25">
      <c r="F52" s="2">
        <f t="shared" si="14"/>
        <v>5</v>
      </c>
      <c r="G52" s="2">
        <f t="shared" si="15"/>
        <v>2</v>
      </c>
      <c r="H52" s="10">
        <f t="shared" si="0"/>
        <v>-887.35615656627056</v>
      </c>
      <c r="I52" s="11">
        <f t="shared" si="12"/>
        <v>-336.5723794139796</v>
      </c>
      <c r="J52" s="10">
        <f t="shared" si="10"/>
        <v>-550.7837771522909</v>
      </c>
      <c r="K52" s="10">
        <f t="shared" si="2"/>
        <v>134078.16798843953</v>
      </c>
      <c r="L52" s="11">
        <f t="shared" si="18"/>
        <v>-467.85819191145822</v>
      </c>
      <c r="M52" s="11"/>
      <c r="N52" s="11">
        <f t="shared" si="4"/>
        <v>-1355.2143484777289</v>
      </c>
      <c r="O52" s="11"/>
      <c r="P52" s="11">
        <f t="shared" si="5"/>
        <v>148016.33810074386</v>
      </c>
      <c r="Q52" s="11">
        <f t="shared" si="6"/>
        <v>-920.06733599999995</v>
      </c>
      <c r="R52" s="11">
        <f t="shared" si="7"/>
        <v>435.14701247772894</v>
      </c>
      <c r="S52" s="11">
        <f t="shared" si="11"/>
        <v>22984.105977636424</v>
      </c>
      <c r="T52" s="12"/>
      <c r="U52" s="10">
        <f t="shared" si="13"/>
        <v>-100000</v>
      </c>
      <c r="V52" s="13">
        <f t="shared" si="8"/>
        <v>271537.97109374992</v>
      </c>
      <c r="W52" s="10">
        <f t="shared" si="17"/>
        <v>134078.16798843953</v>
      </c>
      <c r="X52" s="10">
        <f t="shared" si="16"/>
        <v>37459.803105310391</v>
      </c>
    </row>
    <row r="53" spans="4:24" x14ac:dyDescent="0.25">
      <c r="F53" s="2">
        <f t="shared" si="14"/>
        <v>5</v>
      </c>
      <c r="G53" s="2">
        <f t="shared" si="15"/>
        <v>3</v>
      </c>
      <c r="H53" s="10">
        <f t="shared" si="0"/>
        <v>-887.35615656627056</v>
      </c>
      <c r="I53" s="11">
        <f t="shared" si="12"/>
        <v>-335.19541997109883</v>
      </c>
      <c r="J53" s="10">
        <f t="shared" si="10"/>
        <v>-552.16073659517178</v>
      </c>
      <c r="K53" s="10">
        <f t="shared" si="2"/>
        <v>133526.00725184436</v>
      </c>
      <c r="L53" s="11">
        <f t="shared" si="18"/>
        <v>-467.85819191145822</v>
      </c>
      <c r="M53" s="11"/>
      <c r="N53" s="11">
        <f t="shared" si="4"/>
        <v>-1355.2143484777289</v>
      </c>
      <c r="O53" s="11"/>
      <c r="P53" s="11">
        <f t="shared" si="5"/>
        <v>149054.52199664636</v>
      </c>
      <c r="Q53" s="11">
        <f t="shared" si="6"/>
        <v>-920.06733599999995</v>
      </c>
      <c r="R53" s="11">
        <f t="shared" si="7"/>
        <v>435.14701247772894</v>
      </c>
      <c r="S53" s="11">
        <f t="shared" si="11"/>
        <v>23419.252990114153</v>
      </c>
      <c r="T53" s="12"/>
      <c r="U53" s="10">
        <f t="shared" si="13"/>
        <v>-100000</v>
      </c>
      <c r="V53" s="13">
        <f t="shared" si="8"/>
        <v>271537.97109374992</v>
      </c>
      <c r="W53" s="10">
        <f t="shared" si="17"/>
        <v>133526.00725184436</v>
      </c>
      <c r="X53" s="10">
        <f t="shared" si="16"/>
        <v>38011.963841905555</v>
      </c>
    </row>
    <row r="54" spans="4:24" x14ac:dyDescent="0.25">
      <c r="F54" s="2">
        <f t="shared" si="14"/>
        <v>5</v>
      </c>
      <c r="G54" s="2">
        <f t="shared" si="15"/>
        <v>4</v>
      </c>
      <c r="H54" s="10">
        <f t="shared" si="0"/>
        <v>-887.35615656627056</v>
      </c>
      <c r="I54" s="11">
        <f t="shared" si="12"/>
        <v>-333.81501812961091</v>
      </c>
      <c r="J54" s="10">
        <f t="shared" si="10"/>
        <v>-553.54113843665959</v>
      </c>
      <c r="K54" s="10">
        <f t="shared" si="2"/>
        <v>132972.46611340772</v>
      </c>
      <c r="L54" s="11">
        <f t="shared" si="18"/>
        <v>-467.85819191145822</v>
      </c>
      <c r="M54" s="11"/>
      <c r="N54" s="11">
        <f t="shared" si="4"/>
        <v>-1355.2143484777289</v>
      </c>
      <c r="O54" s="11"/>
      <c r="P54" s="11">
        <f t="shared" si="5"/>
        <v>150096.93558225097</v>
      </c>
      <c r="Q54" s="11">
        <f t="shared" si="6"/>
        <v>-920.06733599999995</v>
      </c>
      <c r="R54" s="11">
        <f t="shared" si="7"/>
        <v>435.14701247772894</v>
      </c>
      <c r="S54" s="11">
        <f t="shared" si="11"/>
        <v>23854.400002591883</v>
      </c>
      <c r="T54" s="12"/>
      <c r="U54" s="10">
        <f t="shared" si="13"/>
        <v>-100000</v>
      </c>
      <c r="V54" s="13">
        <f t="shared" si="8"/>
        <v>271537.97109374992</v>
      </c>
      <c r="W54" s="10">
        <f t="shared" si="17"/>
        <v>132972.46611340772</v>
      </c>
      <c r="X54" s="10">
        <f t="shared" si="16"/>
        <v>38565.504980342201</v>
      </c>
    </row>
    <row r="55" spans="4:24" x14ac:dyDescent="0.25">
      <c r="F55" s="2">
        <f t="shared" si="14"/>
        <v>5</v>
      </c>
      <c r="G55" s="2">
        <f t="shared" si="15"/>
        <v>5</v>
      </c>
      <c r="H55" s="10">
        <f t="shared" si="0"/>
        <v>-887.35615656627056</v>
      </c>
      <c r="I55" s="11">
        <f t="shared" si="12"/>
        <v>-332.43116528351931</v>
      </c>
      <c r="J55" s="10">
        <f t="shared" si="10"/>
        <v>-554.92499128275131</v>
      </c>
      <c r="K55" s="10">
        <f t="shared" si="2"/>
        <v>132417.54112212497</v>
      </c>
      <c r="L55" s="11">
        <f t="shared" si="18"/>
        <v>-467.85819191145822</v>
      </c>
      <c r="M55" s="11"/>
      <c r="N55" s="11">
        <f t="shared" si="4"/>
        <v>-1355.2143484777289</v>
      </c>
      <c r="O55" s="11"/>
      <c r="P55" s="11">
        <f t="shared" si="5"/>
        <v>151143.59608983708</v>
      </c>
      <c r="Q55" s="11">
        <f t="shared" si="6"/>
        <v>-920.06733599999995</v>
      </c>
      <c r="R55" s="11">
        <f t="shared" si="7"/>
        <v>435.14701247772894</v>
      </c>
      <c r="S55" s="11">
        <f t="shared" si="11"/>
        <v>24289.547015069613</v>
      </c>
      <c r="T55" s="12"/>
      <c r="U55" s="10">
        <f t="shared" si="13"/>
        <v>-100000</v>
      </c>
      <c r="V55" s="13">
        <f t="shared" si="8"/>
        <v>271537.97109374992</v>
      </c>
      <c r="W55" s="10">
        <f t="shared" si="17"/>
        <v>132417.54112212497</v>
      </c>
      <c r="X55" s="10">
        <f t="shared" si="16"/>
        <v>39120.429971624952</v>
      </c>
    </row>
    <row r="56" spans="4:24" x14ac:dyDescent="0.25">
      <c r="F56" s="2">
        <f t="shared" si="14"/>
        <v>5</v>
      </c>
      <c r="G56" s="2">
        <f t="shared" si="15"/>
        <v>6</v>
      </c>
      <c r="H56" s="10">
        <f t="shared" si="0"/>
        <v>-887.35615656627056</v>
      </c>
      <c r="I56" s="11">
        <f t="shared" si="12"/>
        <v>-331.04385280531244</v>
      </c>
      <c r="J56" s="10">
        <f t="shared" si="10"/>
        <v>-556.31230376095812</v>
      </c>
      <c r="K56" s="10">
        <f t="shared" si="2"/>
        <v>131861.228818364</v>
      </c>
      <c r="L56" s="11">
        <f t="shared" si="18"/>
        <v>-467.85819191145822</v>
      </c>
      <c r="M56" s="11"/>
      <c r="N56" s="11">
        <f t="shared" si="4"/>
        <v>-1355.2143484777289</v>
      </c>
      <c r="O56" s="11"/>
      <c r="P56" s="11">
        <f t="shared" si="5"/>
        <v>152194.52082189056</v>
      </c>
      <c r="Q56" s="11">
        <f t="shared" si="6"/>
        <v>-920.06733599999995</v>
      </c>
      <c r="R56" s="11">
        <f t="shared" si="7"/>
        <v>435.14701247772894</v>
      </c>
      <c r="S56" s="11">
        <f t="shared" si="11"/>
        <v>24724.694027547343</v>
      </c>
      <c r="T56" s="12"/>
      <c r="U56" s="10">
        <f t="shared" si="13"/>
        <v>-100000</v>
      </c>
      <c r="V56" s="13">
        <f t="shared" si="8"/>
        <v>271537.97109374992</v>
      </c>
      <c r="W56" s="10">
        <f t="shared" si="17"/>
        <v>131861.228818364</v>
      </c>
      <c r="X56" s="10">
        <f t="shared" si="16"/>
        <v>39676.742275385914</v>
      </c>
    </row>
    <row r="57" spans="4:24" x14ac:dyDescent="0.25">
      <c r="F57" s="2">
        <f t="shared" si="14"/>
        <v>5</v>
      </c>
      <c r="G57" s="2">
        <f t="shared" si="15"/>
        <v>7</v>
      </c>
      <c r="H57" s="10">
        <f t="shared" si="0"/>
        <v>-887.35615656627056</v>
      </c>
      <c r="I57" s="11">
        <f t="shared" si="12"/>
        <v>-329.65307204590999</v>
      </c>
      <c r="J57" s="10">
        <f t="shared" si="10"/>
        <v>-557.70308452036056</v>
      </c>
      <c r="K57" s="10">
        <f t="shared" si="2"/>
        <v>131303.52573384365</v>
      </c>
      <c r="L57" s="11">
        <f t="shared" si="18"/>
        <v>-467.85819191145822</v>
      </c>
      <c r="M57" s="11"/>
      <c r="N57" s="11">
        <f t="shared" si="4"/>
        <v>-1355.2143484777289</v>
      </c>
      <c r="O57" s="11"/>
      <c r="P57" s="11">
        <f t="shared" si="5"/>
        <v>153249.72715138973</v>
      </c>
      <c r="Q57" s="11">
        <f t="shared" si="6"/>
        <v>-920.06733599999995</v>
      </c>
      <c r="R57" s="11">
        <f t="shared" si="7"/>
        <v>435.14701247772894</v>
      </c>
      <c r="S57" s="11">
        <f t="shared" si="11"/>
        <v>25159.841040025072</v>
      </c>
      <c r="T57" s="12"/>
      <c r="U57" s="10">
        <f t="shared" si="13"/>
        <v>-100000</v>
      </c>
      <c r="V57" s="13">
        <f t="shared" si="8"/>
        <v>271537.97109374992</v>
      </c>
      <c r="W57" s="10">
        <f t="shared" si="17"/>
        <v>131303.52573384365</v>
      </c>
      <c r="X57" s="10">
        <f t="shared" si="16"/>
        <v>40234.445359906269</v>
      </c>
    </row>
    <row r="58" spans="4:24" x14ac:dyDescent="0.25">
      <c r="F58" s="2">
        <f t="shared" si="14"/>
        <v>5</v>
      </c>
      <c r="G58" s="2">
        <f t="shared" si="15"/>
        <v>8</v>
      </c>
      <c r="H58" s="10">
        <f t="shared" si="0"/>
        <v>-887.35615656627056</v>
      </c>
      <c r="I58" s="11">
        <f t="shared" si="12"/>
        <v>-328.25881433460916</v>
      </c>
      <c r="J58" s="10">
        <f t="shared" si="10"/>
        <v>-559.0973422316614</v>
      </c>
      <c r="K58" s="10">
        <f t="shared" si="2"/>
        <v>130744.42839161199</v>
      </c>
      <c r="L58" s="11">
        <f t="shared" si="18"/>
        <v>-467.85819191145822</v>
      </c>
      <c r="M58" s="11"/>
      <c r="N58" s="11">
        <f t="shared" si="4"/>
        <v>-1355.2143484777289</v>
      </c>
      <c r="O58" s="11"/>
      <c r="P58" s="11">
        <f t="shared" si="5"/>
        <v>154309.23252209256</v>
      </c>
      <c r="Q58" s="11">
        <f t="shared" si="6"/>
        <v>-920.06733599999995</v>
      </c>
      <c r="R58" s="11">
        <f t="shared" si="7"/>
        <v>435.14701247772894</v>
      </c>
      <c r="S58" s="11">
        <f t="shared" si="11"/>
        <v>25594.988052502802</v>
      </c>
      <c r="T58" s="12"/>
      <c r="U58" s="10">
        <f t="shared" si="13"/>
        <v>-100000</v>
      </c>
      <c r="V58" s="13">
        <f t="shared" si="8"/>
        <v>271537.97109374992</v>
      </c>
      <c r="W58" s="10">
        <f t="shared" si="17"/>
        <v>130744.42839161199</v>
      </c>
      <c r="X58" s="10">
        <f t="shared" si="16"/>
        <v>40793.542702137929</v>
      </c>
    </row>
    <row r="59" spans="4:24" x14ac:dyDescent="0.25">
      <c r="F59" s="2">
        <f t="shared" si="14"/>
        <v>5</v>
      </c>
      <c r="G59" s="2">
        <f t="shared" si="15"/>
        <v>9</v>
      </c>
      <c r="H59" s="10">
        <f t="shared" si="0"/>
        <v>-887.35615656627056</v>
      </c>
      <c r="I59" s="11">
        <f t="shared" si="12"/>
        <v>-326.86107097902999</v>
      </c>
      <c r="J59" s="10">
        <f t="shared" si="10"/>
        <v>-560.49508558724051</v>
      </c>
      <c r="K59" s="10">
        <f t="shared" si="2"/>
        <v>130183.93330602474</v>
      </c>
      <c r="L59" s="11">
        <f t="shared" si="18"/>
        <v>-467.85819191145822</v>
      </c>
      <c r="M59" s="11"/>
      <c r="N59" s="11">
        <f t="shared" si="4"/>
        <v>-1355.2143484777289</v>
      </c>
      <c r="O59" s="11"/>
      <c r="P59" s="11">
        <f t="shared" si="5"/>
        <v>155373.05444882507</v>
      </c>
      <c r="Q59" s="11">
        <f t="shared" si="6"/>
        <v>-920.06733599999995</v>
      </c>
      <c r="R59" s="11">
        <f t="shared" si="7"/>
        <v>435.14701247772894</v>
      </c>
      <c r="S59" s="11">
        <f t="shared" si="11"/>
        <v>26030.135064980532</v>
      </c>
      <c r="T59" s="12"/>
      <c r="U59" s="10">
        <f t="shared" si="13"/>
        <v>-100000</v>
      </c>
      <c r="V59" s="13">
        <f t="shared" si="8"/>
        <v>271537.97109374992</v>
      </c>
      <c r="W59" s="10">
        <f t="shared" si="17"/>
        <v>130183.93330602474</v>
      </c>
      <c r="X59" s="10">
        <f t="shared" si="16"/>
        <v>41354.037787725159</v>
      </c>
    </row>
    <row r="60" spans="4:24" x14ac:dyDescent="0.25">
      <c r="F60" s="2">
        <f t="shared" si="14"/>
        <v>5</v>
      </c>
      <c r="G60" s="2">
        <f t="shared" si="15"/>
        <v>10</v>
      </c>
      <c r="H60" s="10">
        <f t="shared" si="0"/>
        <v>-887.35615656627056</v>
      </c>
      <c r="I60" s="11">
        <f t="shared" si="12"/>
        <v>-325.45983326506189</v>
      </c>
      <c r="J60" s="10">
        <f t="shared" si="10"/>
        <v>-561.89632330120867</v>
      </c>
      <c r="K60" s="10">
        <f t="shared" si="2"/>
        <v>129622.03698272354</v>
      </c>
      <c r="L60" s="11">
        <f t="shared" si="18"/>
        <v>-467.85819191145822</v>
      </c>
      <c r="M60" s="11"/>
      <c r="N60" s="11">
        <f t="shared" si="4"/>
        <v>-1355.2143484777289</v>
      </c>
      <c r="O60" s="11"/>
      <c r="P60" s="11">
        <f t="shared" si="5"/>
        <v>156441.21051777087</v>
      </c>
      <c r="Q60" s="11">
        <f t="shared" si="6"/>
        <v>-920.06733599999995</v>
      </c>
      <c r="R60" s="11">
        <f t="shared" si="7"/>
        <v>435.14701247772894</v>
      </c>
      <c r="S60" s="11">
        <f t="shared" si="11"/>
        <v>26465.282077458261</v>
      </c>
      <c r="T60" s="12"/>
      <c r="U60" s="10">
        <f t="shared" si="13"/>
        <v>-100000</v>
      </c>
      <c r="V60" s="13">
        <f t="shared" si="8"/>
        <v>271537.97109374992</v>
      </c>
      <c r="W60" s="10">
        <f t="shared" si="17"/>
        <v>129622.03698272354</v>
      </c>
      <c r="X60" s="10">
        <f t="shared" si="16"/>
        <v>41915.934111026378</v>
      </c>
    </row>
    <row r="61" spans="4:24" x14ac:dyDescent="0.25">
      <c r="F61" s="2">
        <f t="shared" si="14"/>
        <v>5</v>
      </c>
      <c r="G61" s="2">
        <f t="shared" si="15"/>
        <v>11</v>
      </c>
      <c r="H61" s="10">
        <f t="shared" si="0"/>
        <v>-887.35615656627056</v>
      </c>
      <c r="I61" s="11">
        <f t="shared" si="12"/>
        <v>-324.05509245680884</v>
      </c>
      <c r="J61" s="10">
        <f t="shared" si="10"/>
        <v>-563.30106410946178</v>
      </c>
      <c r="K61" s="10">
        <f t="shared" si="2"/>
        <v>129058.73591861408</v>
      </c>
      <c r="L61" s="11">
        <f t="shared" si="18"/>
        <v>-467.85819191145822</v>
      </c>
      <c r="M61" s="11"/>
      <c r="N61" s="11">
        <f t="shared" si="4"/>
        <v>-1355.2143484777289</v>
      </c>
      <c r="O61" s="11"/>
      <c r="P61" s="11">
        <f t="shared" si="5"/>
        <v>157513.71838676182</v>
      </c>
      <c r="Q61" s="11">
        <f t="shared" si="6"/>
        <v>-920.06733599999995</v>
      </c>
      <c r="R61" s="11">
        <f t="shared" si="7"/>
        <v>435.14701247772894</v>
      </c>
      <c r="S61" s="11">
        <f t="shared" si="11"/>
        <v>26900.429089935991</v>
      </c>
      <c r="T61" s="12"/>
      <c r="U61" s="10">
        <f t="shared" si="13"/>
        <v>-100000</v>
      </c>
      <c r="V61" s="13">
        <f t="shared" si="8"/>
        <v>271537.97109374992</v>
      </c>
      <c r="W61" s="10">
        <f t="shared" si="17"/>
        <v>129058.73591861408</v>
      </c>
      <c r="X61" s="10">
        <f t="shared" si="16"/>
        <v>42479.235175135836</v>
      </c>
    </row>
    <row r="62" spans="4:24" x14ac:dyDescent="0.25">
      <c r="F62" s="2">
        <f t="shared" si="14"/>
        <v>5</v>
      </c>
      <c r="G62" s="2">
        <f t="shared" si="15"/>
        <v>12</v>
      </c>
      <c r="H62" s="10">
        <f t="shared" si="0"/>
        <v>-887.35615656627056</v>
      </c>
      <c r="I62" s="11">
        <f t="shared" si="12"/>
        <v>-322.64683979653523</v>
      </c>
      <c r="J62" s="10">
        <f t="shared" si="10"/>
        <v>-564.70931676973532</v>
      </c>
      <c r="K62" s="10">
        <f t="shared" si="2"/>
        <v>128494.02660184435</v>
      </c>
      <c r="L62" s="11">
        <f t="shared" si="18"/>
        <v>-467.85819191145822</v>
      </c>
      <c r="M62" s="11"/>
      <c r="N62" s="11">
        <f t="shared" si="4"/>
        <v>-1355.2143484777289</v>
      </c>
      <c r="O62" s="11"/>
      <c r="P62" s="11">
        <f t="shared" si="5"/>
        <v>158590.59578556995</v>
      </c>
      <c r="Q62" s="11">
        <f t="shared" si="6"/>
        <v>-920.06733599999995</v>
      </c>
      <c r="R62" s="11">
        <f t="shared" si="7"/>
        <v>435.14701247772894</v>
      </c>
      <c r="S62" s="11">
        <f t="shared" si="11"/>
        <v>27335.576102413721</v>
      </c>
      <c r="T62" s="12"/>
      <c r="U62" s="10">
        <f>U61+T62</f>
        <v>-100000</v>
      </c>
      <c r="V62" s="13">
        <f t="shared" si="8"/>
        <v>271537.97109374992</v>
      </c>
      <c r="W62" s="10">
        <f t="shared" si="17"/>
        <v>128494.02660184435</v>
      </c>
      <c r="X62" s="10">
        <f t="shared" si="16"/>
        <v>43043.944491905568</v>
      </c>
    </row>
    <row r="63" spans="4:24" x14ac:dyDescent="0.25">
      <c r="D63" s="18" t="s">
        <v>43</v>
      </c>
      <c r="F63" s="2">
        <f t="shared" si="14"/>
        <v>6</v>
      </c>
      <c r="G63" s="2">
        <f t="shared" si="15"/>
        <v>1</v>
      </c>
      <c r="H63" s="10"/>
      <c r="I63" s="11"/>
      <c r="J63" s="10"/>
      <c r="K63" s="10"/>
      <c r="L63" s="11"/>
      <c r="M63" s="11">
        <f>-$C$34*(1+$C$35)^($F63-1)</f>
        <v>-938.46868272000006</v>
      </c>
      <c r="N63" s="11">
        <f t="shared" si="4"/>
        <v>-938.46868272000006</v>
      </c>
      <c r="O63" s="11"/>
      <c r="P63" s="11">
        <f t="shared" si="5"/>
        <v>159236.71350372292</v>
      </c>
      <c r="Q63" s="11">
        <f t="shared" si="6"/>
        <v>-938.46868272000006</v>
      </c>
      <c r="R63" s="11">
        <f t="shared" si="7"/>
        <v>0</v>
      </c>
      <c r="S63" s="11">
        <f t="shared" si="11"/>
        <v>27335.576102413721</v>
      </c>
      <c r="T63" s="12"/>
      <c r="U63" s="10">
        <f t="shared" ref="U63:U122" si="19">U62+T63</f>
        <v>-100000</v>
      </c>
      <c r="V63" s="13"/>
      <c r="W63" s="10"/>
      <c r="X63" s="10"/>
    </row>
    <row r="64" spans="4:24" x14ac:dyDescent="0.25">
      <c r="F64" s="2">
        <f t="shared" si="14"/>
        <v>6</v>
      </c>
      <c r="G64" s="2">
        <f t="shared" si="15"/>
        <v>2</v>
      </c>
      <c r="H64" s="10"/>
      <c r="I64" s="11"/>
      <c r="J64" s="10"/>
      <c r="K64" s="10"/>
      <c r="L64" s="11"/>
      <c r="M64" s="11">
        <f t="shared" ref="M64:M122" si="20">-$C$34*(1+$C$35)^($F64-1)</f>
        <v>-938.46868272000006</v>
      </c>
      <c r="N64" s="11">
        <f t="shared" si="4"/>
        <v>-938.46868272000006</v>
      </c>
      <c r="O64" s="11"/>
      <c r="P64" s="11">
        <f t="shared" si="5"/>
        <v>159885.46358543844</v>
      </c>
      <c r="Q64" s="11">
        <f t="shared" si="6"/>
        <v>-938.46868272000006</v>
      </c>
      <c r="R64" s="11">
        <f t="shared" si="7"/>
        <v>0</v>
      </c>
      <c r="S64" s="11">
        <f t="shared" si="11"/>
        <v>27335.576102413721</v>
      </c>
      <c r="T64" s="12"/>
      <c r="U64" s="10">
        <f t="shared" si="19"/>
        <v>-100000</v>
      </c>
      <c r="V64" s="13"/>
      <c r="W64" s="10"/>
      <c r="X64" s="10"/>
    </row>
    <row r="65" spans="3:24" x14ac:dyDescent="0.25">
      <c r="F65" s="2">
        <f t="shared" si="14"/>
        <v>6</v>
      </c>
      <c r="G65" s="2">
        <f t="shared" si="15"/>
        <v>3</v>
      </c>
      <c r="H65" s="10"/>
      <c r="I65" s="11"/>
      <c r="J65" s="10"/>
      <c r="K65" s="10"/>
      <c r="L65" s="11"/>
      <c r="M65" s="11">
        <f t="shared" si="20"/>
        <v>-938.46868272000006</v>
      </c>
      <c r="N65" s="11">
        <f t="shared" si="4"/>
        <v>-938.46868272000006</v>
      </c>
      <c r="O65" s="11"/>
      <c r="P65" s="11">
        <f t="shared" si="5"/>
        <v>160536.85675529152</v>
      </c>
      <c r="Q65" s="11">
        <f t="shared" si="6"/>
        <v>-938.46868272000006</v>
      </c>
      <c r="R65" s="11">
        <f t="shared" si="7"/>
        <v>0</v>
      </c>
      <c r="S65" s="11">
        <f t="shared" si="11"/>
        <v>27335.576102413721</v>
      </c>
      <c r="T65" s="12"/>
      <c r="U65" s="10">
        <f t="shared" si="19"/>
        <v>-100000</v>
      </c>
      <c r="V65" s="13"/>
      <c r="W65" s="10"/>
      <c r="X65" s="10"/>
    </row>
    <row r="66" spans="3:24" x14ac:dyDescent="0.25">
      <c r="C66" s="3"/>
      <c r="F66" s="2">
        <f t="shared" si="14"/>
        <v>6</v>
      </c>
      <c r="G66" s="2">
        <f t="shared" si="15"/>
        <v>4</v>
      </c>
      <c r="H66" s="10"/>
      <c r="I66" s="11"/>
      <c r="J66" s="10"/>
      <c r="K66" s="10"/>
      <c r="L66" s="11"/>
      <c r="M66" s="11">
        <f t="shared" si="20"/>
        <v>-938.46868272000006</v>
      </c>
      <c r="N66" s="11">
        <f t="shared" si="4"/>
        <v>-938.46868272000006</v>
      </c>
      <c r="O66" s="11"/>
      <c r="P66" s="11">
        <f t="shared" si="5"/>
        <v>161190.90378155041</v>
      </c>
      <c r="Q66" s="11">
        <f t="shared" si="6"/>
        <v>-938.46868272000006</v>
      </c>
      <c r="R66" s="11">
        <f t="shared" si="7"/>
        <v>0</v>
      </c>
      <c r="S66" s="11">
        <f t="shared" si="11"/>
        <v>27335.576102413721</v>
      </c>
      <c r="T66" s="12"/>
      <c r="U66" s="10">
        <f t="shared" si="19"/>
        <v>-100000</v>
      </c>
      <c r="V66" s="13"/>
      <c r="W66" s="10"/>
      <c r="X66" s="10"/>
    </row>
    <row r="67" spans="3:24" x14ac:dyDescent="0.25">
      <c r="C67" s="3"/>
      <c r="F67" s="2">
        <f t="shared" si="14"/>
        <v>6</v>
      </c>
      <c r="G67" s="2">
        <f t="shared" si="15"/>
        <v>5</v>
      </c>
      <c r="H67" s="10"/>
      <c r="I67" s="11"/>
      <c r="J67" s="10"/>
      <c r="K67" s="10"/>
      <c r="L67" s="11"/>
      <c r="M67" s="11">
        <f t="shared" si="20"/>
        <v>-938.46868272000006</v>
      </c>
      <c r="N67" s="11">
        <f t="shared" si="4"/>
        <v>-938.46868272000006</v>
      </c>
      <c r="O67" s="11"/>
      <c r="P67" s="11">
        <f t="shared" si="5"/>
        <v>161847.61547635461</v>
      </c>
      <c r="Q67" s="11">
        <f t="shared" si="6"/>
        <v>-938.46868272000006</v>
      </c>
      <c r="R67" s="11">
        <f t="shared" si="7"/>
        <v>0</v>
      </c>
      <c r="S67" s="11">
        <f t="shared" si="11"/>
        <v>27335.576102413721</v>
      </c>
      <c r="T67" s="12"/>
      <c r="U67" s="10">
        <f t="shared" si="19"/>
        <v>-100000</v>
      </c>
      <c r="V67" s="13"/>
      <c r="W67" s="10"/>
      <c r="X67" s="10"/>
    </row>
    <row r="68" spans="3:24" x14ac:dyDescent="0.25">
      <c r="F68" s="2">
        <f t="shared" si="14"/>
        <v>6</v>
      </c>
      <c r="G68" s="2">
        <f t="shared" si="15"/>
        <v>6</v>
      </c>
      <c r="H68" s="10"/>
      <c r="I68" s="11"/>
      <c r="J68" s="10"/>
      <c r="K68" s="10"/>
      <c r="L68" s="11"/>
      <c r="M68" s="11">
        <f t="shared" si="20"/>
        <v>-938.46868272000006</v>
      </c>
      <c r="N68" s="11">
        <f t="shared" ref="N68:N122" si="21">H68+L68+M68</f>
        <v>-938.46868272000006</v>
      </c>
      <c r="O68" s="11"/>
      <c r="P68" s="11">
        <f t="shared" ref="P68:P122" si="22">P67*(1+$D$32)+R68</f>
        <v>162507.00269589361</v>
      </c>
      <c r="Q68" s="11">
        <f t="shared" ref="Q68:Q122" si="23">-$C$34*(1+$C$35)^($F68-1)</f>
        <v>-938.46868272000006</v>
      </c>
      <c r="R68" s="11">
        <f t="shared" ref="R68:R122" si="24">Q68-N68</f>
        <v>0</v>
      </c>
      <c r="S68" s="11">
        <f t="shared" si="11"/>
        <v>27335.576102413721</v>
      </c>
      <c r="T68" s="12"/>
      <c r="U68" s="10">
        <f t="shared" si="19"/>
        <v>-100000</v>
      </c>
      <c r="V68" s="13"/>
      <c r="W68" s="10"/>
      <c r="X68" s="10"/>
    </row>
    <row r="69" spans="3:24" x14ac:dyDescent="0.25">
      <c r="F69" s="2">
        <f t="shared" si="14"/>
        <v>6</v>
      </c>
      <c r="G69" s="2">
        <f t="shared" si="15"/>
        <v>7</v>
      </c>
      <c r="H69" s="10"/>
      <c r="I69" s="11"/>
      <c r="J69" s="10"/>
      <c r="K69" s="10"/>
      <c r="L69" s="11"/>
      <c r="M69" s="11">
        <f t="shared" si="20"/>
        <v>-938.46868272000006</v>
      </c>
      <c r="N69" s="11">
        <f t="shared" si="21"/>
        <v>-938.46868272000006</v>
      </c>
      <c r="O69" s="11"/>
      <c r="P69" s="11">
        <f t="shared" si="22"/>
        <v>163169.07634058635</v>
      </c>
      <c r="Q69" s="11">
        <f t="shared" si="23"/>
        <v>-938.46868272000006</v>
      </c>
      <c r="R69" s="11">
        <f t="shared" si="24"/>
        <v>0</v>
      </c>
      <c r="S69" s="11">
        <f t="shared" ref="S69:S122" si="25">R69+S68</f>
        <v>27335.576102413721</v>
      </c>
      <c r="T69" s="12"/>
      <c r="U69" s="10">
        <f t="shared" si="19"/>
        <v>-100000</v>
      </c>
      <c r="V69" s="13"/>
      <c r="W69" s="10"/>
      <c r="X69" s="10"/>
    </row>
    <row r="70" spans="3:24" x14ac:dyDescent="0.25">
      <c r="F70" s="2">
        <f t="shared" si="14"/>
        <v>6</v>
      </c>
      <c r="G70" s="2">
        <f t="shared" si="15"/>
        <v>8</v>
      </c>
      <c r="H70" s="10"/>
      <c r="I70" s="11"/>
      <c r="J70" s="10"/>
      <c r="K70" s="10"/>
      <c r="L70" s="11"/>
      <c r="M70" s="11">
        <f t="shared" si="20"/>
        <v>-938.46868272000006</v>
      </c>
      <c r="N70" s="11">
        <f t="shared" si="21"/>
        <v>-938.46868272000006</v>
      </c>
      <c r="O70" s="11"/>
      <c r="P70" s="11">
        <f t="shared" si="22"/>
        <v>163833.84735526147</v>
      </c>
      <c r="Q70" s="11">
        <f t="shared" si="23"/>
        <v>-938.46868272000006</v>
      </c>
      <c r="R70" s="11">
        <f t="shared" si="24"/>
        <v>0</v>
      </c>
      <c r="S70" s="11">
        <f t="shared" si="25"/>
        <v>27335.576102413721</v>
      </c>
      <c r="T70" s="12"/>
      <c r="U70" s="10">
        <f t="shared" si="19"/>
        <v>-100000</v>
      </c>
      <c r="V70" s="13"/>
      <c r="W70" s="10"/>
      <c r="X70" s="10"/>
    </row>
    <row r="71" spans="3:24" x14ac:dyDescent="0.25">
      <c r="F71" s="2">
        <f t="shared" si="14"/>
        <v>6</v>
      </c>
      <c r="G71" s="2">
        <f t="shared" si="15"/>
        <v>9</v>
      </c>
      <c r="H71" s="10"/>
      <c r="I71" s="11"/>
      <c r="J71" s="10"/>
      <c r="K71" s="10"/>
      <c r="L71" s="11"/>
      <c r="M71" s="11">
        <f t="shared" si="20"/>
        <v>-938.46868272000006</v>
      </c>
      <c r="N71" s="11">
        <f t="shared" si="21"/>
        <v>-938.46868272000006</v>
      </c>
      <c r="O71" s="11"/>
      <c r="P71" s="11">
        <f t="shared" si="22"/>
        <v>164501.32672933815</v>
      </c>
      <c r="Q71" s="11">
        <f t="shared" si="23"/>
        <v>-938.46868272000006</v>
      </c>
      <c r="R71" s="11">
        <f t="shared" si="24"/>
        <v>0</v>
      </c>
      <c r="S71" s="11">
        <f t="shared" si="25"/>
        <v>27335.576102413721</v>
      </c>
      <c r="T71" s="12"/>
      <c r="U71" s="10">
        <f t="shared" si="19"/>
        <v>-100000</v>
      </c>
      <c r="V71" s="13"/>
      <c r="W71" s="10"/>
      <c r="X71" s="10"/>
    </row>
    <row r="72" spans="3:24" x14ac:dyDescent="0.25">
      <c r="F72" s="2">
        <f t="shared" si="14"/>
        <v>6</v>
      </c>
      <c r="G72" s="2">
        <f t="shared" si="15"/>
        <v>10</v>
      </c>
      <c r="H72" s="10"/>
      <c r="I72" s="11"/>
      <c r="J72" s="10"/>
      <c r="K72" s="10"/>
      <c r="L72" s="11"/>
      <c r="M72" s="11">
        <f t="shared" si="20"/>
        <v>-938.46868272000006</v>
      </c>
      <c r="N72" s="11">
        <f t="shared" si="21"/>
        <v>-938.46868272000006</v>
      </c>
      <c r="O72" s="11"/>
      <c r="P72" s="11">
        <f t="shared" si="22"/>
        <v>165171.52549700785</v>
      </c>
      <c r="Q72" s="11">
        <f t="shared" si="23"/>
        <v>-938.46868272000006</v>
      </c>
      <c r="R72" s="11">
        <f t="shared" si="24"/>
        <v>0</v>
      </c>
      <c r="S72" s="11">
        <f t="shared" si="25"/>
        <v>27335.576102413721</v>
      </c>
      <c r="T72" s="12"/>
      <c r="U72" s="10">
        <f t="shared" si="19"/>
        <v>-100000</v>
      </c>
      <c r="V72" s="13"/>
      <c r="W72" s="10"/>
      <c r="X72" s="10"/>
    </row>
    <row r="73" spans="3:24" x14ac:dyDescent="0.25">
      <c r="F73" s="2">
        <f t="shared" si="14"/>
        <v>6</v>
      </c>
      <c r="G73" s="2">
        <f t="shared" si="15"/>
        <v>11</v>
      </c>
      <c r="H73" s="10"/>
      <c r="I73" s="11"/>
      <c r="J73" s="10"/>
      <c r="K73" s="10"/>
      <c r="L73" s="11"/>
      <c r="M73" s="11">
        <f t="shared" si="20"/>
        <v>-938.46868272000006</v>
      </c>
      <c r="N73" s="11">
        <f t="shared" si="21"/>
        <v>-938.46868272000006</v>
      </c>
      <c r="O73" s="11"/>
      <c r="P73" s="11">
        <f t="shared" si="22"/>
        <v>165844.4547374167</v>
      </c>
      <c r="Q73" s="11">
        <f t="shared" si="23"/>
        <v>-938.46868272000006</v>
      </c>
      <c r="R73" s="11">
        <f t="shared" si="24"/>
        <v>0</v>
      </c>
      <c r="S73" s="11">
        <f t="shared" si="25"/>
        <v>27335.576102413721</v>
      </c>
      <c r="T73" s="12"/>
      <c r="U73" s="10">
        <f t="shared" si="19"/>
        <v>-100000</v>
      </c>
      <c r="V73" s="13"/>
      <c r="W73" s="10"/>
      <c r="X73" s="10"/>
    </row>
    <row r="74" spans="3:24" x14ac:dyDescent="0.25">
      <c r="F74" s="2">
        <f t="shared" si="14"/>
        <v>6</v>
      </c>
      <c r="G74" s="2">
        <f t="shared" si="15"/>
        <v>12</v>
      </c>
      <c r="H74" s="10"/>
      <c r="I74" s="11"/>
      <c r="J74" s="10"/>
      <c r="K74" s="10"/>
      <c r="L74" s="11"/>
      <c r="M74" s="11">
        <f t="shared" si="20"/>
        <v>-938.46868272000006</v>
      </c>
      <c r="N74" s="11">
        <f t="shared" si="21"/>
        <v>-938.46868272000006</v>
      </c>
      <c r="O74" s="11"/>
      <c r="P74" s="11">
        <f t="shared" si="22"/>
        <v>166520.12557484861</v>
      </c>
      <c r="Q74" s="11">
        <f t="shared" si="23"/>
        <v>-938.46868272000006</v>
      </c>
      <c r="R74" s="11">
        <f t="shared" si="24"/>
        <v>0</v>
      </c>
      <c r="S74" s="11">
        <f t="shared" si="25"/>
        <v>27335.576102413721</v>
      </c>
      <c r="T74" s="12"/>
      <c r="U74" s="10">
        <f t="shared" si="19"/>
        <v>-100000</v>
      </c>
      <c r="V74" s="13"/>
      <c r="W74" s="10"/>
      <c r="X74" s="10"/>
    </row>
    <row r="75" spans="3:24" x14ac:dyDescent="0.25">
      <c r="F75" s="2">
        <f t="shared" si="14"/>
        <v>7</v>
      </c>
      <c r="G75" s="2">
        <f t="shared" si="15"/>
        <v>1</v>
      </c>
      <c r="H75" s="10"/>
      <c r="I75" s="11"/>
      <c r="J75" s="10"/>
      <c r="K75" s="10"/>
      <c r="L75" s="11"/>
      <c r="M75" s="11">
        <f t="shared" si="20"/>
        <v>-957.2380563744</v>
      </c>
      <c r="N75" s="11">
        <f t="shared" si="21"/>
        <v>-957.2380563744</v>
      </c>
      <c r="O75" s="11"/>
      <c r="P75" s="11">
        <f t="shared" si="22"/>
        <v>167198.54917890922</v>
      </c>
      <c r="Q75" s="11">
        <f t="shared" si="23"/>
        <v>-957.2380563744</v>
      </c>
      <c r="R75" s="11">
        <f t="shared" si="24"/>
        <v>0</v>
      </c>
      <c r="S75" s="11">
        <f t="shared" si="25"/>
        <v>27335.576102413721</v>
      </c>
      <c r="T75" s="12"/>
      <c r="U75" s="10">
        <f t="shared" si="19"/>
        <v>-100000</v>
      </c>
      <c r="V75" s="13"/>
      <c r="W75" s="10"/>
      <c r="X75" s="10"/>
    </row>
    <row r="76" spans="3:24" x14ac:dyDescent="0.25">
      <c r="F76" s="2">
        <f t="shared" si="14"/>
        <v>7</v>
      </c>
      <c r="G76" s="2">
        <f t="shared" si="15"/>
        <v>2</v>
      </c>
      <c r="H76" s="10"/>
      <c r="I76" s="11"/>
      <c r="J76" s="10"/>
      <c r="K76" s="10"/>
      <c r="L76" s="11"/>
      <c r="M76" s="11">
        <f t="shared" si="20"/>
        <v>-957.2380563744</v>
      </c>
      <c r="N76" s="11">
        <f t="shared" si="21"/>
        <v>-957.2380563744</v>
      </c>
      <c r="O76" s="11"/>
      <c r="P76" s="11">
        <f t="shared" si="22"/>
        <v>167879.73676471051</v>
      </c>
      <c r="Q76" s="11">
        <f t="shared" si="23"/>
        <v>-957.2380563744</v>
      </c>
      <c r="R76" s="11">
        <f t="shared" si="24"/>
        <v>0</v>
      </c>
      <c r="S76" s="11">
        <f t="shared" si="25"/>
        <v>27335.576102413721</v>
      </c>
      <c r="T76" s="12"/>
      <c r="U76" s="10">
        <f t="shared" si="19"/>
        <v>-100000</v>
      </c>
      <c r="V76" s="13"/>
      <c r="W76" s="10"/>
      <c r="X76" s="10"/>
    </row>
    <row r="77" spans="3:24" x14ac:dyDescent="0.25">
      <c r="F77" s="2">
        <f t="shared" si="14"/>
        <v>7</v>
      </c>
      <c r="G77" s="2">
        <f t="shared" si="15"/>
        <v>3</v>
      </c>
      <c r="H77" s="10"/>
      <c r="I77" s="11"/>
      <c r="J77" s="10"/>
      <c r="K77" s="10"/>
      <c r="L77" s="11"/>
      <c r="M77" s="11">
        <f t="shared" si="20"/>
        <v>-957.2380563744</v>
      </c>
      <c r="N77" s="11">
        <f t="shared" si="21"/>
        <v>-957.2380563744</v>
      </c>
      <c r="O77" s="11"/>
      <c r="P77" s="11">
        <f t="shared" si="22"/>
        <v>168563.69959305626</v>
      </c>
      <c r="Q77" s="11">
        <f t="shared" si="23"/>
        <v>-957.2380563744</v>
      </c>
      <c r="R77" s="11">
        <f t="shared" si="24"/>
        <v>0</v>
      </c>
      <c r="S77" s="11">
        <f t="shared" si="25"/>
        <v>27335.576102413721</v>
      </c>
      <c r="T77" s="12"/>
      <c r="U77" s="10">
        <f t="shared" si="19"/>
        <v>-100000</v>
      </c>
      <c r="V77" s="13"/>
      <c r="W77" s="10"/>
      <c r="X77" s="10"/>
    </row>
    <row r="78" spans="3:24" x14ac:dyDescent="0.25">
      <c r="F78" s="2">
        <f t="shared" si="14"/>
        <v>7</v>
      </c>
      <c r="G78" s="2">
        <f t="shared" si="15"/>
        <v>4</v>
      </c>
      <c r="H78" s="10"/>
      <c r="I78" s="11"/>
      <c r="J78" s="10"/>
      <c r="K78" s="10"/>
      <c r="L78" s="11"/>
      <c r="M78" s="11">
        <f t="shared" si="20"/>
        <v>-957.2380563744</v>
      </c>
      <c r="N78" s="11">
        <f t="shared" si="21"/>
        <v>-957.2380563744</v>
      </c>
      <c r="O78" s="11"/>
      <c r="P78" s="11">
        <f t="shared" si="22"/>
        <v>169250.44897062809</v>
      </c>
      <c r="Q78" s="11">
        <f t="shared" si="23"/>
        <v>-957.2380563744</v>
      </c>
      <c r="R78" s="11">
        <f t="shared" si="24"/>
        <v>0</v>
      </c>
      <c r="S78" s="11">
        <f t="shared" si="25"/>
        <v>27335.576102413721</v>
      </c>
      <c r="T78" s="12"/>
      <c r="U78" s="10">
        <f t="shared" si="19"/>
        <v>-100000</v>
      </c>
      <c r="V78" s="13"/>
      <c r="W78" s="10"/>
      <c r="X78" s="10"/>
    </row>
    <row r="79" spans="3:24" x14ac:dyDescent="0.25">
      <c r="F79" s="2">
        <f t="shared" si="14"/>
        <v>7</v>
      </c>
      <c r="G79" s="2">
        <f t="shared" si="15"/>
        <v>5</v>
      </c>
      <c r="H79" s="10"/>
      <c r="I79" s="11"/>
      <c r="J79" s="10"/>
      <c r="K79" s="10"/>
      <c r="L79" s="11"/>
      <c r="M79" s="11">
        <f t="shared" si="20"/>
        <v>-957.2380563744</v>
      </c>
      <c r="N79" s="11">
        <f t="shared" si="21"/>
        <v>-957.2380563744</v>
      </c>
      <c r="O79" s="11"/>
      <c r="P79" s="11">
        <f t="shared" si="22"/>
        <v>169939.99625017249</v>
      </c>
      <c r="Q79" s="11">
        <f t="shared" si="23"/>
        <v>-957.2380563744</v>
      </c>
      <c r="R79" s="11">
        <f t="shared" si="24"/>
        <v>0</v>
      </c>
      <c r="S79" s="11">
        <f t="shared" si="25"/>
        <v>27335.576102413721</v>
      </c>
      <c r="T79" s="12"/>
      <c r="U79" s="10">
        <f t="shared" si="19"/>
        <v>-100000</v>
      </c>
      <c r="V79" s="13"/>
      <c r="W79" s="10"/>
      <c r="X79" s="10"/>
    </row>
    <row r="80" spans="3:24" x14ac:dyDescent="0.25">
      <c r="F80" s="2">
        <f t="shared" si="14"/>
        <v>7</v>
      </c>
      <c r="G80" s="2">
        <f t="shared" si="15"/>
        <v>6</v>
      </c>
      <c r="H80" s="10"/>
      <c r="I80" s="11"/>
      <c r="J80" s="10"/>
      <c r="K80" s="10"/>
      <c r="L80" s="11"/>
      <c r="M80" s="11">
        <f t="shared" si="20"/>
        <v>-957.2380563744</v>
      </c>
      <c r="N80" s="11">
        <f t="shared" si="21"/>
        <v>-957.2380563744</v>
      </c>
      <c r="O80" s="11"/>
      <c r="P80" s="11">
        <f t="shared" si="22"/>
        <v>170632.35283068844</v>
      </c>
      <c r="Q80" s="11">
        <f t="shared" si="23"/>
        <v>-957.2380563744</v>
      </c>
      <c r="R80" s="11">
        <f t="shared" si="24"/>
        <v>0</v>
      </c>
      <c r="S80" s="11">
        <f t="shared" si="25"/>
        <v>27335.576102413721</v>
      </c>
      <c r="T80" s="12"/>
      <c r="U80" s="10">
        <f t="shared" si="19"/>
        <v>-100000</v>
      </c>
      <c r="V80" s="13"/>
      <c r="W80" s="10"/>
      <c r="X80" s="10"/>
    </row>
    <row r="81" spans="6:24" x14ac:dyDescent="0.25">
      <c r="F81" s="2">
        <f t="shared" ref="F81:F122" si="26">F69+1</f>
        <v>7</v>
      </c>
      <c r="G81" s="2">
        <f t="shared" ref="G81:G122" si="27">G69</f>
        <v>7</v>
      </c>
      <c r="H81" s="10"/>
      <c r="I81" s="11"/>
      <c r="J81" s="10"/>
      <c r="K81" s="10"/>
      <c r="L81" s="11"/>
      <c r="M81" s="11">
        <f t="shared" si="20"/>
        <v>-957.2380563744</v>
      </c>
      <c r="N81" s="11">
        <f t="shared" si="21"/>
        <v>-957.2380563744</v>
      </c>
      <c r="O81" s="11"/>
      <c r="P81" s="11">
        <f t="shared" si="22"/>
        <v>171327.53015761584</v>
      </c>
      <c r="Q81" s="11">
        <f t="shared" si="23"/>
        <v>-957.2380563744</v>
      </c>
      <c r="R81" s="11">
        <f t="shared" si="24"/>
        <v>0</v>
      </c>
      <c r="S81" s="11">
        <f t="shared" si="25"/>
        <v>27335.576102413721</v>
      </c>
      <c r="T81" s="12"/>
      <c r="U81" s="10">
        <f t="shared" si="19"/>
        <v>-100000</v>
      </c>
      <c r="V81" s="13"/>
      <c r="W81" s="10"/>
      <c r="X81" s="10"/>
    </row>
    <row r="82" spans="6:24" x14ac:dyDescent="0.25">
      <c r="F82" s="2">
        <f t="shared" si="26"/>
        <v>7</v>
      </c>
      <c r="G82" s="2">
        <f t="shared" si="27"/>
        <v>8</v>
      </c>
      <c r="H82" s="10"/>
      <c r="I82" s="11"/>
      <c r="J82" s="10"/>
      <c r="K82" s="10"/>
      <c r="L82" s="11"/>
      <c r="M82" s="11">
        <f t="shared" si="20"/>
        <v>-957.2380563744</v>
      </c>
      <c r="N82" s="11">
        <f t="shared" si="21"/>
        <v>-957.2380563744</v>
      </c>
      <c r="O82" s="11"/>
      <c r="P82" s="11">
        <f t="shared" si="22"/>
        <v>172025.5397230247</v>
      </c>
      <c r="Q82" s="11">
        <f t="shared" si="23"/>
        <v>-957.2380563744</v>
      </c>
      <c r="R82" s="11">
        <f t="shared" si="24"/>
        <v>0</v>
      </c>
      <c r="S82" s="11">
        <f t="shared" si="25"/>
        <v>27335.576102413721</v>
      </c>
      <c r="T82" s="12"/>
      <c r="U82" s="10">
        <f t="shared" si="19"/>
        <v>-100000</v>
      </c>
      <c r="V82" s="13"/>
      <c r="W82" s="10"/>
      <c r="X82" s="10"/>
    </row>
    <row r="83" spans="6:24" x14ac:dyDescent="0.25">
      <c r="F83" s="2">
        <f t="shared" si="26"/>
        <v>7</v>
      </c>
      <c r="G83" s="2">
        <f t="shared" si="27"/>
        <v>9</v>
      </c>
      <c r="H83" s="10"/>
      <c r="I83" s="11"/>
      <c r="J83" s="10"/>
      <c r="K83" s="10"/>
      <c r="L83" s="11"/>
      <c r="M83" s="11">
        <f t="shared" si="20"/>
        <v>-957.2380563744</v>
      </c>
      <c r="N83" s="11">
        <f t="shared" si="21"/>
        <v>-957.2380563744</v>
      </c>
      <c r="O83" s="11"/>
      <c r="P83" s="11">
        <f t="shared" si="22"/>
        <v>172726.39306580523</v>
      </c>
      <c r="Q83" s="11">
        <f t="shared" si="23"/>
        <v>-957.2380563744</v>
      </c>
      <c r="R83" s="11">
        <f t="shared" si="24"/>
        <v>0</v>
      </c>
      <c r="S83" s="11">
        <f t="shared" si="25"/>
        <v>27335.576102413721</v>
      </c>
      <c r="T83" s="12"/>
      <c r="U83" s="10">
        <f t="shared" si="19"/>
        <v>-100000</v>
      </c>
      <c r="V83" s="13"/>
      <c r="W83" s="10"/>
      <c r="X83" s="10"/>
    </row>
    <row r="84" spans="6:24" x14ac:dyDescent="0.25">
      <c r="F84" s="2">
        <f t="shared" si="26"/>
        <v>7</v>
      </c>
      <c r="G84" s="2">
        <f t="shared" si="27"/>
        <v>10</v>
      </c>
      <c r="H84" s="10"/>
      <c r="I84" s="11"/>
      <c r="J84" s="10"/>
      <c r="K84" s="10"/>
      <c r="L84" s="11"/>
      <c r="M84" s="11">
        <f t="shared" si="20"/>
        <v>-957.2380563744</v>
      </c>
      <c r="N84" s="11">
        <f t="shared" si="21"/>
        <v>-957.2380563744</v>
      </c>
      <c r="O84" s="11"/>
      <c r="P84" s="11">
        <f t="shared" si="22"/>
        <v>173430.1017718584</v>
      </c>
      <c r="Q84" s="11">
        <f t="shared" si="23"/>
        <v>-957.2380563744</v>
      </c>
      <c r="R84" s="11">
        <f t="shared" si="24"/>
        <v>0</v>
      </c>
      <c r="S84" s="11">
        <f t="shared" si="25"/>
        <v>27335.576102413721</v>
      </c>
      <c r="T84" s="12"/>
      <c r="U84" s="10">
        <f t="shared" si="19"/>
        <v>-100000</v>
      </c>
      <c r="V84" s="13"/>
      <c r="W84" s="10"/>
      <c r="X84" s="10"/>
    </row>
    <row r="85" spans="6:24" x14ac:dyDescent="0.25">
      <c r="F85" s="2">
        <f t="shared" si="26"/>
        <v>7</v>
      </c>
      <c r="G85" s="2">
        <f t="shared" si="27"/>
        <v>11</v>
      </c>
      <c r="H85" s="10"/>
      <c r="I85" s="11"/>
      <c r="J85" s="10"/>
      <c r="K85" s="10"/>
      <c r="L85" s="11"/>
      <c r="M85" s="11">
        <f t="shared" si="20"/>
        <v>-957.2380563744</v>
      </c>
      <c r="N85" s="11">
        <f t="shared" si="21"/>
        <v>-957.2380563744</v>
      </c>
      <c r="O85" s="11"/>
      <c r="P85" s="11">
        <f t="shared" si="22"/>
        <v>174136.67747428769</v>
      </c>
      <c r="Q85" s="11">
        <f t="shared" si="23"/>
        <v>-957.2380563744</v>
      </c>
      <c r="R85" s="11">
        <f t="shared" si="24"/>
        <v>0</v>
      </c>
      <c r="S85" s="11">
        <f t="shared" si="25"/>
        <v>27335.576102413721</v>
      </c>
      <c r="T85" s="12"/>
      <c r="U85" s="10">
        <f t="shared" si="19"/>
        <v>-100000</v>
      </c>
      <c r="V85" s="13"/>
      <c r="W85" s="10"/>
      <c r="X85" s="10"/>
    </row>
    <row r="86" spans="6:24" x14ac:dyDescent="0.25">
      <c r="F86" s="2">
        <f t="shared" si="26"/>
        <v>7</v>
      </c>
      <c r="G86" s="2">
        <f t="shared" si="27"/>
        <v>12</v>
      </c>
      <c r="H86" s="10"/>
      <c r="I86" s="11"/>
      <c r="J86" s="10"/>
      <c r="K86" s="10"/>
      <c r="L86" s="11"/>
      <c r="M86" s="11">
        <f t="shared" si="20"/>
        <v>-957.2380563744</v>
      </c>
      <c r="N86" s="11">
        <f t="shared" si="21"/>
        <v>-957.2380563744</v>
      </c>
      <c r="O86" s="11"/>
      <c r="P86" s="11">
        <f t="shared" si="22"/>
        <v>174846.13185359119</v>
      </c>
      <c r="Q86" s="11">
        <f t="shared" si="23"/>
        <v>-957.2380563744</v>
      </c>
      <c r="R86" s="11">
        <f t="shared" si="24"/>
        <v>0</v>
      </c>
      <c r="S86" s="11">
        <f t="shared" si="25"/>
        <v>27335.576102413721</v>
      </c>
      <c r="T86" s="12"/>
      <c r="U86" s="10">
        <f t="shared" si="19"/>
        <v>-100000</v>
      </c>
      <c r="V86" s="13"/>
      <c r="W86" s="10"/>
      <c r="X86" s="10"/>
    </row>
    <row r="87" spans="6:24" x14ac:dyDescent="0.25">
      <c r="F87" s="2">
        <f t="shared" si="26"/>
        <v>8</v>
      </c>
      <c r="G87" s="2">
        <f t="shared" si="27"/>
        <v>1</v>
      </c>
      <c r="H87" s="10"/>
      <c r="I87" s="11"/>
      <c r="J87" s="10"/>
      <c r="K87" s="10"/>
      <c r="L87" s="11"/>
      <c r="M87" s="11">
        <f t="shared" si="20"/>
        <v>-976.38281750188787</v>
      </c>
      <c r="N87" s="11">
        <f t="shared" si="21"/>
        <v>-976.38281750188787</v>
      </c>
      <c r="O87" s="11"/>
      <c r="P87" s="11">
        <f t="shared" si="22"/>
        <v>175558.47663785482</v>
      </c>
      <c r="Q87" s="11">
        <f t="shared" si="23"/>
        <v>-976.38281750188787</v>
      </c>
      <c r="R87" s="11">
        <f t="shared" si="24"/>
        <v>0</v>
      </c>
      <c r="S87" s="11">
        <f t="shared" si="25"/>
        <v>27335.576102413721</v>
      </c>
      <c r="T87" s="12"/>
      <c r="U87" s="10">
        <f t="shared" si="19"/>
        <v>-100000</v>
      </c>
      <c r="V87" s="13"/>
      <c r="W87" s="10"/>
      <c r="X87" s="10"/>
    </row>
    <row r="88" spans="6:24" x14ac:dyDescent="0.25">
      <c r="F88" s="2">
        <f t="shared" si="26"/>
        <v>8</v>
      </c>
      <c r="G88" s="2">
        <f t="shared" si="27"/>
        <v>2</v>
      </c>
      <c r="H88" s="10"/>
      <c r="I88" s="11"/>
      <c r="J88" s="10"/>
      <c r="K88" s="10"/>
      <c r="L88" s="11"/>
      <c r="M88" s="11">
        <f t="shared" si="20"/>
        <v>-976.38281750188787</v>
      </c>
      <c r="N88" s="11">
        <f t="shared" si="21"/>
        <v>-976.38281750188787</v>
      </c>
      <c r="O88" s="11"/>
      <c r="P88" s="11">
        <f t="shared" si="22"/>
        <v>176273.72360294618</v>
      </c>
      <c r="Q88" s="11">
        <f t="shared" si="23"/>
        <v>-976.38281750188787</v>
      </c>
      <c r="R88" s="11">
        <f t="shared" si="24"/>
        <v>0</v>
      </c>
      <c r="S88" s="11">
        <f t="shared" si="25"/>
        <v>27335.576102413721</v>
      </c>
      <c r="T88" s="12"/>
      <c r="U88" s="10">
        <f t="shared" si="19"/>
        <v>-100000</v>
      </c>
      <c r="V88" s="13"/>
      <c r="W88" s="10"/>
      <c r="X88" s="10"/>
    </row>
    <row r="89" spans="6:24" x14ac:dyDescent="0.25">
      <c r="F89" s="2">
        <f t="shared" si="26"/>
        <v>8</v>
      </c>
      <c r="G89" s="2">
        <f t="shared" si="27"/>
        <v>3</v>
      </c>
      <c r="H89" s="10"/>
      <c r="I89" s="11"/>
      <c r="J89" s="10"/>
      <c r="K89" s="10"/>
      <c r="L89" s="11"/>
      <c r="M89" s="11">
        <f t="shared" si="20"/>
        <v>-976.38281750188787</v>
      </c>
      <c r="N89" s="11">
        <f t="shared" si="21"/>
        <v>-976.38281750188787</v>
      </c>
      <c r="O89" s="11"/>
      <c r="P89" s="11">
        <f t="shared" si="22"/>
        <v>176991.88457270918</v>
      </c>
      <c r="Q89" s="11">
        <f t="shared" si="23"/>
        <v>-976.38281750188787</v>
      </c>
      <c r="R89" s="11">
        <f t="shared" si="24"/>
        <v>0</v>
      </c>
      <c r="S89" s="11">
        <f t="shared" si="25"/>
        <v>27335.576102413721</v>
      </c>
      <c r="T89" s="12"/>
      <c r="U89" s="10">
        <f t="shared" si="19"/>
        <v>-100000</v>
      </c>
      <c r="V89" s="13"/>
      <c r="W89" s="10"/>
      <c r="X89" s="10"/>
    </row>
    <row r="90" spans="6:24" x14ac:dyDescent="0.25">
      <c r="F90" s="2">
        <f t="shared" si="26"/>
        <v>8</v>
      </c>
      <c r="G90" s="2">
        <f t="shared" si="27"/>
        <v>4</v>
      </c>
      <c r="H90" s="10"/>
      <c r="I90" s="11"/>
      <c r="J90" s="10"/>
      <c r="K90" s="10"/>
      <c r="L90" s="11"/>
      <c r="M90" s="11">
        <f t="shared" si="20"/>
        <v>-976.38281750188787</v>
      </c>
      <c r="N90" s="11">
        <f t="shared" si="21"/>
        <v>-976.38281750188787</v>
      </c>
      <c r="O90" s="11"/>
      <c r="P90" s="11">
        <f t="shared" si="22"/>
        <v>177712.97141915961</v>
      </c>
      <c r="Q90" s="11">
        <f t="shared" si="23"/>
        <v>-976.38281750188787</v>
      </c>
      <c r="R90" s="11">
        <f t="shared" si="24"/>
        <v>0</v>
      </c>
      <c r="S90" s="11">
        <f t="shared" si="25"/>
        <v>27335.576102413721</v>
      </c>
      <c r="T90" s="12"/>
      <c r="U90" s="10">
        <f t="shared" si="19"/>
        <v>-100000</v>
      </c>
      <c r="V90" s="13"/>
      <c r="W90" s="10"/>
      <c r="X90" s="10"/>
    </row>
    <row r="91" spans="6:24" x14ac:dyDescent="0.25">
      <c r="F91" s="2">
        <f t="shared" si="26"/>
        <v>8</v>
      </c>
      <c r="G91" s="2">
        <f t="shared" si="27"/>
        <v>5</v>
      </c>
      <c r="H91" s="10"/>
      <c r="I91" s="11"/>
      <c r="J91" s="10"/>
      <c r="K91" s="10"/>
      <c r="L91" s="11"/>
      <c r="M91" s="11">
        <f t="shared" si="20"/>
        <v>-976.38281750188787</v>
      </c>
      <c r="N91" s="11">
        <f t="shared" si="21"/>
        <v>-976.38281750188787</v>
      </c>
      <c r="O91" s="11"/>
      <c r="P91" s="11">
        <f t="shared" si="22"/>
        <v>178436.99606268122</v>
      </c>
      <c r="Q91" s="11">
        <f t="shared" si="23"/>
        <v>-976.38281750188787</v>
      </c>
      <c r="R91" s="11">
        <f t="shared" si="24"/>
        <v>0</v>
      </c>
      <c r="S91" s="11">
        <f t="shared" si="25"/>
        <v>27335.576102413721</v>
      </c>
      <c r="T91" s="12"/>
      <c r="U91" s="10">
        <f t="shared" si="19"/>
        <v>-100000</v>
      </c>
      <c r="V91" s="13"/>
      <c r="W91" s="10"/>
      <c r="X91" s="10"/>
    </row>
    <row r="92" spans="6:24" x14ac:dyDescent="0.25">
      <c r="F92" s="2">
        <f t="shared" si="26"/>
        <v>8</v>
      </c>
      <c r="G92" s="2">
        <f t="shared" si="27"/>
        <v>6</v>
      </c>
      <c r="H92" s="10"/>
      <c r="I92" s="11"/>
      <c r="J92" s="10"/>
      <c r="K92" s="10"/>
      <c r="L92" s="11"/>
      <c r="M92" s="11">
        <f t="shared" si="20"/>
        <v>-976.38281750188787</v>
      </c>
      <c r="N92" s="11">
        <f t="shared" si="21"/>
        <v>-976.38281750188787</v>
      </c>
      <c r="O92" s="11"/>
      <c r="P92" s="11">
        <f t="shared" si="22"/>
        <v>179163.97047222295</v>
      </c>
      <c r="Q92" s="11">
        <f t="shared" si="23"/>
        <v>-976.38281750188787</v>
      </c>
      <c r="R92" s="11">
        <f t="shared" si="24"/>
        <v>0</v>
      </c>
      <c r="S92" s="11">
        <f t="shared" si="25"/>
        <v>27335.576102413721</v>
      </c>
      <c r="T92" s="12"/>
      <c r="U92" s="10">
        <f t="shared" si="19"/>
        <v>-100000</v>
      </c>
      <c r="V92" s="13"/>
      <c r="W92" s="10"/>
      <c r="X92" s="10"/>
    </row>
    <row r="93" spans="6:24" x14ac:dyDescent="0.25">
      <c r="F93" s="2">
        <f t="shared" si="26"/>
        <v>8</v>
      </c>
      <c r="G93" s="2">
        <f t="shared" si="27"/>
        <v>7</v>
      </c>
      <c r="H93" s="10"/>
      <c r="I93" s="11"/>
      <c r="J93" s="10"/>
      <c r="K93" s="10"/>
      <c r="L93" s="11"/>
      <c r="M93" s="11">
        <f t="shared" si="20"/>
        <v>-976.38281750188787</v>
      </c>
      <c r="N93" s="11">
        <f t="shared" si="21"/>
        <v>-976.38281750188787</v>
      </c>
      <c r="O93" s="11"/>
      <c r="P93" s="11">
        <f t="shared" si="22"/>
        <v>179893.9066654967</v>
      </c>
      <c r="Q93" s="11">
        <f t="shared" si="23"/>
        <v>-976.38281750188787</v>
      </c>
      <c r="R93" s="11">
        <f t="shared" si="24"/>
        <v>0</v>
      </c>
      <c r="S93" s="11">
        <f t="shared" si="25"/>
        <v>27335.576102413721</v>
      </c>
      <c r="T93" s="12"/>
      <c r="U93" s="10">
        <f t="shared" si="19"/>
        <v>-100000</v>
      </c>
      <c r="V93" s="13"/>
      <c r="W93" s="10"/>
      <c r="X93" s="10"/>
    </row>
    <row r="94" spans="6:24" x14ac:dyDescent="0.25">
      <c r="F94" s="2">
        <f t="shared" si="26"/>
        <v>8</v>
      </c>
      <c r="G94" s="2">
        <f t="shared" si="27"/>
        <v>8</v>
      </c>
      <c r="H94" s="10"/>
      <c r="I94" s="11"/>
      <c r="J94" s="10"/>
      <c r="K94" s="10"/>
      <c r="L94" s="11"/>
      <c r="M94" s="11">
        <f t="shared" si="20"/>
        <v>-976.38281750188787</v>
      </c>
      <c r="N94" s="11">
        <f t="shared" si="21"/>
        <v>-976.38281750188787</v>
      </c>
      <c r="O94" s="11"/>
      <c r="P94" s="11">
        <f t="shared" si="22"/>
        <v>180626.81670917603</v>
      </c>
      <c r="Q94" s="11">
        <f t="shared" si="23"/>
        <v>-976.38281750188787</v>
      </c>
      <c r="R94" s="11">
        <f t="shared" si="24"/>
        <v>0</v>
      </c>
      <c r="S94" s="11">
        <f t="shared" si="25"/>
        <v>27335.576102413721</v>
      </c>
      <c r="T94" s="12"/>
      <c r="U94" s="10">
        <f t="shared" si="19"/>
        <v>-100000</v>
      </c>
      <c r="V94" s="13"/>
      <c r="W94" s="10"/>
      <c r="X94" s="10"/>
    </row>
    <row r="95" spans="6:24" x14ac:dyDescent="0.25">
      <c r="F95" s="2">
        <f t="shared" si="26"/>
        <v>8</v>
      </c>
      <c r="G95" s="2">
        <f t="shared" si="27"/>
        <v>9</v>
      </c>
      <c r="H95" s="10"/>
      <c r="I95" s="11"/>
      <c r="J95" s="10"/>
      <c r="K95" s="10"/>
      <c r="L95" s="11"/>
      <c r="M95" s="11">
        <f t="shared" si="20"/>
        <v>-976.38281750188787</v>
      </c>
      <c r="N95" s="11">
        <f t="shared" si="21"/>
        <v>-976.38281750188787</v>
      </c>
      <c r="O95" s="11"/>
      <c r="P95" s="11">
        <f t="shared" si="22"/>
        <v>181362.71271909558</v>
      </c>
      <c r="Q95" s="11">
        <f t="shared" si="23"/>
        <v>-976.38281750188787</v>
      </c>
      <c r="R95" s="11">
        <f t="shared" si="24"/>
        <v>0</v>
      </c>
      <c r="S95" s="11">
        <f t="shared" si="25"/>
        <v>27335.576102413721</v>
      </c>
      <c r="T95" s="12"/>
      <c r="U95" s="10">
        <f t="shared" si="19"/>
        <v>-100000</v>
      </c>
      <c r="V95" s="13"/>
      <c r="W95" s="10"/>
      <c r="X95" s="10"/>
    </row>
    <row r="96" spans="6:24" x14ac:dyDescent="0.25">
      <c r="F96" s="2">
        <f t="shared" si="26"/>
        <v>8</v>
      </c>
      <c r="G96" s="2">
        <f t="shared" si="27"/>
        <v>10</v>
      </c>
      <c r="H96" s="10"/>
      <c r="I96" s="11"/>
      <c r="J96" s="10"/>
      <c r="K96" s="10"/>
      <c r="L96" s="11"/>
      <c r="M96" s="11">
        <f t="shared" si="20"/>
        <v>-976.38281750188787</v>
      </c>
      <c r="N96" s="11">
        <f t="shared" si="21"/>
        <v>-976.38281750188787</v>
      </c>
      <c r="O96" s="11"/>
      <c r="P96" s="11">
        <f t="shared" si="22"/>
        <v>182101.60686045143</v>
      </c>
      <c r="Q96" s="11">
        <f t="shared" si="23"/>
        <v>-976.38281750188787</v>
      </c>
      <c r="R96" s="11">
        <f t="shared" si="24"/>
        <v>0</v>
      </c>
      <c r="S96" s="11">
        <f t="shared" si="25"/>
        <v>27335.576102413721</v>
      </c>
      <c r="T96" s="12"/>
      <c r="U96" s="10">
        <f t="shared" si="19"/>
        <v>-100000</v>
      </c>
      <c r="V96" s="13"/>
      <c r="W96" s="10"/>
      <c r="X96" s="10"/>
    </row>
    <row r="97" spans="6:24" x14ac:dyDescent="0.25">
      <c r="F97" s="2">
        <f t="shared" si="26"/>
        <v>8</v>
      </c>
      <c r="G97" s="2">
        <f t="shared" si="27"/>
        <v>11</v>
      </c>
      <c r="H97" s="10"/>
      <c r="I97" s="11"/>
      <c r="J97" s="10"/>
      <c r="K97" s="10"/>
      <c r="L97" s="11"/>
      <c r="M97" s="11">
        <f t="shared" si="20"/>
        <v>-976.38281750188787</v>
      </c>
      <c r="N97" s="11">
        <f t="shared" si="21"/>
        <v>-976.38281750188787</v>
      </c>
      <c r="O97" s="11"/>
      <c r="P97" s="11">
        <f t="shared" si="22"/>
        <v>182843.51134800218</v>
      </c>
      <c r="Q97" s="11">
        <f t="shared" si="23"/>
        <v>-976.38281750188787</v>
      </c>
      <c r="R97" s="11">
        <f t="shared" si="24"/>
        <v>0</v>
      </c>
      <c r="S97" s="11">
        <f t="shared" si="25"/>
        <v>27335.576102413721</v>
      </c>
      <c r="T97" s="12"/>
      <c r="U97" s="10">
        <f t="shared" si="19"/>
        <v>-100000</v>
      </c>
      <c r="V97" s="13"/>
      <c r="W97" s="10"/>
      <c r="X97" s="10"/>
    </row>
    <row r="98" spans="6:24" x14ac:dyDescent="0.25">
      <c r="F98" s="2">
        <f t="shared" si="26"/>
        <v>8</v>
      </c>
      <c r="G98" s="2">
        <f t="shared" si="27"/>
        <v>12</v>
      </c>
      <c r="H98" s="10"/>
      <c r="I98" s="11"/>
      <c r="J98" s="10"/>
      <c r="K98" s="10"/>
      <c r="L98" s="11"/>
      <c r="M98" s="11">
        <f t="shared" si="20"/>
        <v>-976.38281750188787</v>
      </c>
      <c r="N98" s="11">
        <f t="shared" si="21"/>
        <v>-976.38281750188787</v>
      </c>
      <c r="O98" s="11"/>
      <c r="P98" s="11">
        <f t="shared" si="22"/>
        <v>183588.43844627085</v>
      </c>
      <c r="Q98" s="11">
        <f t="shared" si="23"/>
        <v>-976.38281750188787</v>
      </c>
      <c r="R98" s="11">
        <f t="shared" si="24"/>
        <v>0</v>
      </c>
      <c r="S98" s="11">
        <f t="shared" si="25"/>
        <v>27335.576102413721</v>
      </c>
      <c r="T98" s="12"/>
      <c r="U98" s="10">
        <f t="shared" si="19"/>
        <v>-100000</v>
      </c>
      <c r="V98" s="13"/>
      <c r="W98" s="10"/>
      <c r="X98" s="10"/>
    </row>
    <row r="99" spans="6:24" x14ac:dyDescent="0.25">
      <c r="F99" s="2">
        <f t="shared" si="26"/>
        <v>9</v>
      </c>
      <c r="G99" s="2">
        <f t="shared" si="27"/>
        <v>1</v>
      </c>
      <c r="H99" s="10"/>
      <c r="I99" s="11"/>
      <c r="J99" s="10"/>
      <c r="K99" s="10"/>
      <c r="L99" s="11"/>
      <c r="M99" s="11">
        <f t="shared" si="20"/>
        <v>-995.91047385192564</v>
      </c>
      <c r="N99" s="11">
        <f t="shared" si="21"/>
        <v>-995.91047385192564</v>
      </c>
      <c r="O99" s="11"/>
      <c r="P99" s="11">
        <f t="shared" si="22"/>
        <v>184336.40046974766</v>
      </c>
      <c r="Q99" s="11">
        <f t="shared" si="23"/>
        <v>-995.91047385192564</v>
      </c>
      <c r="R99" s="11">
        <f t="shared" si="24"/>
        <v>0</v>
      </c>
      <c r="S99" s="11">
        <f t="shared" si="25"/>
        <v>27335.576102413721</v>
      </c>
      <c r="T99" s="12"/>
      <c r="U99" s="10">
        <f t="shared" si="19"/>
        <v>-100000</v>
      </c>
      <c r="V99" s="13"/>
      <c r="W99" s="10"/>
      <c r="X99" s="10"/>
    </row>
    <row r="100" spans="6:24" x14ac:dyDescent="0.25">
      <c r="F100" s="2">
        <f t="shared" si="26"/>
        <v>9</v>
      </c>
      <c r="G100" s="2">
        <f t="shared" si="27"/>
        <v>2</v>
      </c>
      <c r="H100" s="10"/>
      <c r="I100" s="11"/>
      <c r="J100" s="10"/>
      <c r="K100" s="10"/>
      <c r="L100" s="11"/>
      <c r="M100" s="11">
        <f t="shared" si="20"/>
        <v>-995.91047385192564</v>
      </c>
      <c r="N100" s="11">
        <f t="shared" si="21"/>
        <v>-995.91047385192564</v>
      </c>
      <c r="O100" s="11"/>
      <c r="P100" s="11">
        <f t="shared" si="22"/>
        <v>185087.40978309358</v>
      </c>
      <c r="Q100" s="11">
        <f t="shared" si="23"/>
        <v>-995.91047385192564</v>
      </c>
      <c r="R100" s="11">
        <f t="shared" si="24"/>
        <v>0</v>
      </c>
      <c r="S100" s="11">
        <f t="shared" si="25"/>
        <v>27335.576102413721</v>
      </c>
      <c r="T100" s="12"/>
      <c r="U100" s="10">
        <f t="shared" si="19"/>
        <v>-100000</v>
      </c>
      <c r="V100" s="13"/>
      <c r="W100" s="10"/>
      <c r="X100" s="10"/>
    </row>
    <row r="101" spans="6:24" x14ac:dyDescent="0.25">
      <c r="F101" s="2">
        <f t="shared" si="26"/>
        <v>9</v>
      </c>
      <c r="G101" s="2">
        <f t="shared" si="27"/>
        <v>3</v>
      </c>
      <c r="H101" s="10"/>
      <c r="I101" s="11"/>
      <c r="J101" s="10"/>
      <c r="K101" s="10"/>
      <c r="L101" s="11"/>
      <c r="M101" s="11">
        <f t="shared" si="20"/>
        <v>-995.91047385192564</v>
      </c>
      <c r="N101" s="11">
        <f t="shared" si="21"/>
        <v>-995.91047385192564</v>
      </c>
      <c r="O101" s="11"/>
      <c r="P101" s="11">
        <f t="shared" si="22"/>
        <v>185841.47880134475</v>
      </c>
      <c r="Q101" s="11">
        <f t="shared" si="23"/>
        <v>-995.91047385192564</v>
      </c>
      <c r="R101" s="11">
        <f t="shared" si="24"/>
        <v>0</v>
      </c>
      <c r="S101" s="11">
        <f t="shared" si="25"/>
        <v>27335.576102413721</v>
      </c>
      <c r="T101" s="12"/>
      <c r="U101" s="10">
        <f t="shared" si="19"/>
        <v>-100000</v>
      </c>
      <c r="V101" s="13"/>
      <c r="W101" s="10"/>
      <c r="X101" s="10"/>
    </row>
    <row r="102" spans="6:24" x14ac:dyDescent="0.25">
      <c r="F102" s="2">
        <f t="shared" si="26"/>
        <v>9</v>
      </c>
      <c r="G102" s="2">
        <f t="shared" si="27"/>
        <v>4</v>
      </c>
      <c r="H102" s="10"/>
      <c r="I102" s="11"/>
      <c r="J102" s="10"/>
      <c r="K102" s="10"/>
      <c r="L102" s="11"/>
      <c r="M102" s="11">
        <f t="shared" si="20"/>
        <v>-995.91047385192564</v>
      </c>
      <c r="N102" s="11">
        <f t="shared" si="21"/>
        <v>-995.91047385192564</v>
      </c>
      <c r="O102" s="11"/>
      <c r="P102" s="11">
        <f t="shared" si="22"/>
        <v>186598.6199901177</v>
      </c>
      <c r="Q102" s="11">
        <f t="shared" si="23"/>
        <v>-995.91047385192564</v>
      </c>
      <c r="R102" s="11">
        <f t="shared" si="24"/>
        <v>0</v>
      </c>
      <c r="S102" s="11">
        <f t="shared" si="25"/>
        <v>27335.576102413721</v>
      </c>
      <c r="T102" s="12"/>
      <c r="U102" s="10">
        <f t="shared" si="19"/>
        <v>-100000</v>
      </c>
      <c r="V102" s="13"/>
      <c r="W102" s="10"/>
      <c r="X102" s="10"/>
    </row>
    <row r="103" spans="6:24" x14ac:dyDescent="0.25">
      <c r="F103" s="2">
        <f t="shared" si="26"/>
        <v>9</v>
      </c>
      <c r="G103" s="2">
        <f t="shared" si="27"/>
        <v>5</v>
      </c>
      <c r="H103" s="10"/>
      <c r="I103" s="11"/>
      <c r="J103" s="10"/>
      <c r="K103" s="10"/>
      <c r="L103" s="11"/>
      <c r="M103" s="11">
        <f t="shared" si="20"/>
        <v>-995.91047385192564</v>
      </c>
      <c r="N103" s="11">
        <f t="shared" si="21"/>
        <v>-995.91047385192564</v>
      </c>
      <c r="O103" s="11"/>
      <c r="P103" s="11">
        <f t="shared" si="22"/>
        <v>187358.84586581541</v>
      </c>
      <c r="Q103" s="11">
        <f t="shared" si="23"/>
        <v>-995.91047385192564</v>
      </c>
      <c r="R103" s="11">
        <f t="shared" si="24"/>
        <v>0</v>
      </c>
      <c r="S103" s="11">
        <f t="shared" si="25"/>
        <v>27335.576102413721</v>
      </c>
      <c r="T103" s="12"/>
      <c r="U103" s="10">
        <f t="shared" si="19"/>
        <v>-100000</v>
      </c>
      <c r="V103" s="13"/>
      <c r="W103" s="10"/>
      <c r="X103" s="10"/>
    </row>
    <row r="104" spans="6:24" x14ac:dyDescent="0.25">
      <c r="F104" s="2">
        <f t="shared" si="26"/>
        <v>9</v>
      </c>
      <c r="G104" s="2">
        <f t="shared" si="27"/>
        <v>6</v>
      </c>
      <c r="H104" s="10"/>
      <c r="I104" s="11"/>
      <c r="J104" s="10"/>
      <c r="K104" s="10"/>
      <c r="L104" s="11"/>
      <c r="M104" s="11">
        <f t="shared" si="20"/>
        <v>-995.91047385192564</v>
      </c>
      <c r="N104" s="11">
        <f t="shared" si="21"/>
        <v>-995.91047385192564</v>
      </c>
      <c r="O104" s="11"/>
      <c r="P104" s="11">
        <f t="shared" si="22"/>
        <v>188122.16899583425</v>
      </c>
      <c r="Q104" s="11">
        <f t="shared" si="23"/>
        <v>-995.91047385192564</v>
      </c>
      <c r="R104" s="11">
        <f t="shared" si="24"/>
        <v>0</v>
      </c>
      <c r="S104" s="11">
        <f t="shared" si="25"/>
        <v>27335.576102413721</v>
      </c>
      <c r="T104" s="12"/>
      <c r="U104" s="10">
        <f t="shared" si="19"/>
        <v>-100000</v>
      </c>
      <c r="V104" s="13"/>
      <c r="W104" s="10"/>
      <c r="X104" s="10"/>
    </row>
    <row r="105" spans="6:24" x14ac:dyDescent="0.25">
      <c r="F105" s="2">
        <f t="shared" si="26"/>
        <v>9</v>
      </c>
      <c r="G105" s="2">
        <f t="shared" si="27"/>
        <v>7</v>
      </c>
      <c r="H105" s="10"/>
      <c r="I105" s="11"/>
      <c r="J105" s="10"/>
      <c r="K105" s="10"/>
      <c r="L105" s="11"/>
      <c r="M105" s="11">
        <f t="shared" si="20"/>
        <v>-995.91047385192564</v>
      </c>
      <c r="N105" s="11">
        <f t="shared" si="21"/>
        <v>-995.91047385192564</v>
      </c>
      <c r="O105" s="11"/>
      <c r="P105" s="11">
        <f t="shared" si="22"/>
        <v>188888.60199877169</v>
      </c>
      <c r="Q105" s="11">
        <f t="shared" si="23"/>
        <v>-995.91047385192564</v>
      </c>
      <c r="R105" s="11">
        <f t="shared" si="24"/>
        <v>0</v>
      </c>
      <c r="S105" s="11">
        <f t="shared" si="25"/>
        <v>27335.576102413721</v>
      </c>
      <c r="T105" s="12"/>
      <c r="U105" s="10">
        <f t="shared" si="19"/>
        <v>-100000</v>
      </c>
      <c r="V105" s="13"/>
      <c r="W105" s="10"/>
      <c r="X105" s="10"/>
    </row>
    <row r="106" spans="6:24" x14ac:dyDescent="0.25">
      <c r="F106" s="2">
        <f t="shared" si="26"/>
        <v>9</v>
      </c>
      <c r="G106" s="2">
        <f t="shared" si="27"/>
        <v>8</v>
      </c>
      <c r="H106" s="10"/>
      <c r="I106" s="11"/>
      <c r="J106" s="10"/>
      <c r="K106" s="10"/>
      <c r="L106" s="11"/>
      <c r="M106" s="11">
        <f t="shared" si="20"/>
        <v>-995.91047385192564</v>
      </c>
      <c r="N106" s="11">
        <f t="shared" si="21"/>
        <v>-995.91047385192564</v>
      </c>
      <c r="O106" s="11"/>
      <c r="P106" s="11">
        <f t="shared" si="22"/>
        <v>189658.15754463497</v>
      </c>
      <c r="Q106" s="11">
        <f t="shared" si="23"/>
        <v>-995.91047385192564</v>
      </c>
      <c r="R106" s="11">
        <f t="shared" si="24"/>
        <v>0</v>
      </c>
      <c r="S106" s="11">
        <f t="shared" si="25"/>
        <v>27335.576102413721</v>
      </c>
      <c r="T106" s="12"/>
      <c r="U106" s="10">
        <f t="shared" si="19"/>
        <v>-100000</v>
      </c>
      <c r="V106" s="13"/>
      <c r="W106" s="10"/>
      <c r="X106" s="10"/>
    </row>
    <row r="107" spans="6:24" x14ac:dyDescent="0.25">
      <c r="F107" s="2">
        <f t="shared" si="26"/>
        <v>9</v>
      </c>
      <c r="G107" s="2">
        <f t="shared" si="27"/>
        <v>9</v>
      </c>
      <c r="H107" s="10"/>
      <c r="I107" s="11"/>
      <c r="J107" s="10"/>
      <c r="K107" s="10"/>
      <c r="L107" s="11"/>
      <c r="M107" s="11">
        <f t="shared" si="20"/>
        <v>-995.91047385192564</v>
      </c>
      <c r="N107" s="11">
        <f t="shared" si="21"/>
        <v>-995.91047385192564</v>
      </c>
      <c r="O107" s="11"/>
      <c r="P107" s="11">
        <f t="shared" si="22"/>
        <v>190430.84835505049</v>
      </c>
      <c r="Q107" s="11">
        <f t="shared" si="23"/>
        <v>-995.91047385192564</v>
      </c>
      <c r="R107" s="11">
        <f t="shared" si="24"/>
        <v>0</v>
      </c>
      <c r="S107" s="11">
        <f t="shared" si="25"/>
        <v>27335.576102413721</v>
      </c>
      <c r="T107" s="12"/>
      <c r="U107" s="10">
        <f t="shared" si="19"/>
        <v>-100000</v>
      </c>
      <c r="V107" s="13"/>
      <c r="W107" s="10"/>
      <c r="X107" s="10"/>
    </row>
    <row r="108" spans="6:24" x14ac:dyDescent="0.25">
      <c r="F108" s="2">
        <f t="shared" si="26"/>
        <v>9</v>
      </c>
      <c r="G108" s="2">
        <f t="shared" si="27"/>
        <v>10</v>
      </c>
      <c r="H108" s="10"/>
      <c r="I108" s="11"/>
      <c r="J108" s="10"/>
      <c r="K108" s="10"/>
      <c r="L108" s="11"/>
      <c r="M108" s="11">
        <f t="shared" si="20"/>
        <v>-995.91047385192564</v>
      </c>
      <c r="N108" s="11">
        <f t="shared" si="21"/>
        <v>-995.91047385192564</v>
      </c>
      <c r="O108" s="11"/>
      <c r="P108" s="11">
        <f t="shared" si="22"/>
        <v>191206.68720347414</v>
      </c>
      <c r="Q108" s="11">
        <f t="shared" si="23"/>
        <v>-995.91047385192564</v>
      </c>
      <c r="R108" s="11">
        <f t="shared" si="24"/>
        <v>0</v>
      </c>
      <c r="S108" s="11">
        <f t="shared" si="25"/>
        <v>27335.576102413721</v>
      </c>
      <c r="T108" s="12"/>
      <c r="U108" s="10">
        <f t="shared" si="19"/>
        <v>-100000</v>
      </c>
      <c r="V108" s="13"/>
      <c r="W108" s="10"/>
      <c r="X108" s="10"/>
    </row>
    <row r="109" spans="6:24" x14ac:dyDescent="0.25">
      <c r="F109" s="2">
        <f t="shared" si="26"/>
        <v>9</v>
      </c>
      <c r="G109" s="2">
        <f t="shared" si="27"/>
        <v>11</v>
      </c>
      <c r="H109" s="10"/>
      <c r="I109" s="11"/>
      <c r="J109" s="10"/>
      <c r="K109" s="10"/>
      <c r="L109" s="11"/>
      <c r="M109" s="11">
        <f t="shared" si="20"/>
        <v>-995.91047385192564</v>
      </c>
      <c r="N109" s="11">
        <f t="shared" si="21"/>
        <v>-995.91047385192564</v>
      </c>
      <c r="O109" s="11"/>
      <c r="P109" s="11">
        <f t="shared" si="22"/>
        <v>191985.68691540242</v>
      </c>
      <c r="Q109" s="11">
        <f t="shared" si="23"/>
        <v>-995.91047385192564</v>
      </c>
      <c r="R109" s="11">
        <f t="shared" si="24"/>
        <v>0</v>
      </c>
      <c r="S109" s="11">
        <f t="shared" si="25"/>
        <v>27335.576102413721</v>
      </c>
      <c r="T109" s="12"/>
      <c r="U109" s="10">
        <f t="shared" si="19"/>
        <v>-100000</v>
      </c>
      <c r="V109" s="13"/>
      <c r="W109" s="10"/>
      <c r="X109" s="10"/>
    </row>
    <row r="110" spans="6:24" x14ac:dyDescent="0.25">
      <c r="F110" s="2">
        <f t="shared" si="26"/>
        <v>9</v>
      </c>
      <c r="G110" s="2">
        <f t="shared" si="27"/>
        <v>12</v>
      </c>
      <c r="H110" s="10"/>
      <c r="I110" s="11"/>
      <c r="J110" s="10"/>
      <c r="K110" s="10"/>
      <c r="L110" s="11"/>
      <c r="M110" s="11">
        <f t="shared" si="20"/>
        <v>-995.91047385192564</v>
      </c>
      <c r="N110" s="11">
        <f t="shared" si="21"/>
        <v>-995.91047385192564</v>
      </c>
      <c r="O110" s="11"/>
      <c r="P110" s="11">
        <f t="shared" si="22"/>
        <v>192767.86036858452</v>
      </c>
      <c r="Q110" s="11">
        <f t="shared" si="23"/>
        <v>-995.91047385192564</v>
      </c>
      <c r="R110" s="11">
        <f t="shared" si="24"/>
        <v>0</v>
      </c>
      <c r="S110" s="11">
        <f t="shared" si="25"/>
        <v>27335.576102413721</v>
      </c>
      <c r="T110" s="12"/>
      <c r="U110" s="10">
        <f t="shared" si="19"/>
        <v>-100000</v>
      </c>
      <c r="V110" s="13"/>
      <c r="W110" s="10"/>
      <c r="X110" s="10"/>
    </row>
    <row r="111" spans="6:24" x14ac:dyDescent="0.25">
      <c r="F111" s="2">
        <f t="shared" si="26"/>
        <v>10</v>
      </c>
      <c r="G111" s="2">
        <f t="shared" si="27"/>
        <v>1</v>
      </c>
      <c r="H111" s="10"/>
      <c r="I111" s="11"/>
      <c r="J111" s="10"/>
      <c r="K111" s="10"/>
      <c r="L111" s="11"/>
      <c r="M111" s="11">
        <f t="shared" si="20"/>
        <v>-1015.8286833289642</v>
      </c>
      <c r="N111" s="11">
        <f t="shared" si="21"/>
        <v>-1015.8286833289642</v>
      </c>
      <c r="O111" s="11"/>
      <c r="P111" s="11">
        <f t="shared" si="22"/>
        <v>193553.22049323516</v>
      </c>
      <c r="Q111" s="11">
        <f t="shared" si="23"/>
        <v>-1015.8286833289642</v>
      </c>
      <c r="R111" s="11">
        <f t="shared" si="24"/>
        <v>0</v>
      </c>
      <c r="S111" s="11">
        <f t="shared" si="25"/>
        <v>27335.576102413721</v>
      </c>
      <c r="T111" s="12"/>
      <c r="U111" s="10">
        <f t="shared" si="19"/>
        <v>-100000</v>
      </c>
      <c r="V111" s="13"/>
      <c r="W111" s="10"/>
      <c r="X111" s="10"/>
    </row>
    <row r="112" spans="6:24" x14ac:dyDescent="0.25">
      <c r="F112" s="2">
        <f t="shared" si="26"/>
        <v>10</v>
      </c>
      <c r="G112" s="2">
        <f t="shared" si="27"/>
        <v>2</v>
      </c>
      <c r="H112" s="10"/>
      <c r="I112" s="11"/>
      <c r="J112" s="10"/>
      <c r="K112" s="10"/>
      <c r="L112" s="11"/>
      <c r="M112" s="11">
        <f t="shared" si="20"/>
        <v>-1015.8286833289642</v>
      </c>
      <c r="N112" s="11">
        <f t="shared" si="21"/>
        <v>-1015.8286833289642</v>
      </c>
      <c r="O112" s="11"/>
      <c r="P112" s="11">
        <f t="shared" si="22"/>
        <v>194341.78027224838</v>
      </c>
      <c r="Q112" s="11">
        <f t="shared" si="23"/>
        <v>-1015.8286833289642</v>
      </c>
      <c r="R112" s="11">
        <f t="shared" si="24"/>
        <v>0</v>
      </c>
      <c r="S112" s="11">
        <f t="shared" si="25"/>
        <v>27335.576102413721</v>
      </c>
      <c r="T112" s="12"/>
      <c r="U112" s="10">
        <f t="shared" si="19"/>
        <v>-100000</v>
      </c>
      <c r="V112" s="13"/>
      <c r="W112" s="10"/>
      <c r="X112" s="10"/>
    </row>
    <row r="113" spans="6:24" x14ac:dyDescent="0.25">
      <c r="F113" s="2">
        <f t="shared" si="26"/>
        <v>10</v>
      </c>
      <c r="G113" s="2">
        <f t="shared" si="27"/>
        <v>3</v>
      </c>
      <c r="H113" s="10"/>
      <c r="I113" s="11"/>
      <c r="J113" s="10"/>
      <c r="K113" s="10"/>
      <c r="L113" s="11"/>
      <c r="M113" s="11">
        <f t="shared" si="20"/>
        <v>-1015.8286833289642</v>
      </c>
      <c r="N113" s="11">
        <f t="shared" si="21"/>
        <v>-1015.8286833289642</v>
      </c>
      <c r="O113" s="11"/>
      <c r="P113" s="11">
        <f t="shared" si="22"/>
        <v>195133.5527414121</v>
      </c>
      <c r="Q113" s="11">
        <f t="shared" si="23"/>
        <v>-1015.8286833289642</v>
      </c>
      <c r="R113" s="11">
        <f t="shared" si="24"/>
        <v>0</v>
      </c>
      <c r="S113" s="11">
        <f t="shared" si="25"/>
        <v>27335.576102413721</v>
      </c>
      <c r="T113" s="12"/>
      <c r="U113" s="10">
        <f t="shared" si="19"/>
        <v>-100000</v>
      </c>
      <c r="V113" s="13"/>
      <c r="W113" s="10"/>
      <c r="X113" s="10"/>
    </row>
    <row r="114" spans="6:24" x14ac:dyDescent="0.25">
      <c r="F114" s="2">
        <f t="shared" si="26"/>
        <v>10</v>
      </c>
      <c r="G114" s="2">
        <f t="shared" si="27"/>
        <v>4</v>
      </c>
      <c r="H114" s="10"/>
      <c r="I114" s="11"/>
      <c r="J114" s="10"/>
      <c r="K114" s="10"/>
      <c r="L114" s="11"/>
      <c r="M114" s="11">
        <f t="shared" si="20"/>
        <v>-1015.8286833289642</v>
      </c>
      <c r="N114" s="11">
        <f t="shared" si="21"/>
        <v>-1015.8286833289642</v>
      </c>
      <c r="O114" s="11"/>
      <c r="P114" s="11">
        <f t="shared" si="22"/>
        <v>195928.55098962368</v>
      </c>
      <c r="Q114" s="11">
        <f t="shared" si="23"/>
        <v>-1015.8286833289642</v>
      </c>
      <c r="R114" s="11">
        <f t="shared" si="24"/>
        <v>0</v>
      </c>
      <c r="S114" s="11">
        <f t="shared" si="25"/>
        <v>27335.576102413721</v>
      </c>
      <c r="T114" s="12"/>
      <c r="U114" s="10">
        <f t="shared" si="19"/>
        <v>-100000</v>
      </c>
      <c r="V114" s="13"/>
      <c r="W114" s="10"/>
      <c r="X114" s="10"/>
    </row>
    <row r="115" spans="6:24" x14ac:dyDescent="0.25">
      <c r="F115" s="2">
        <f t="shared" si="26"/>
        <v>10</v>
      </c>
      <c r="G115" s="2">
        <f t="shared" si="27"/>
        <v>5</v>
      </c>
      <c r="H115" s="10"/>
      <c r="I115" s="11"/>
      <c r="J115" s="10"/>
      <c r="K115" s="10"/>
      <c r="L115" s="11"/>
      <c r="M115" s="11">
        <f t="shared" si="20"/>
        <v>-1015.8286833289642</v>
      </c>
      <c r="N115" s="11">
        <f t="shared" si="21"/>
        <v>-1015.8286833289642</v>
      </c>
      <c r="O115" s="11"/>
      <c r="P115" s="11">
        <f t="shared" si="22"/>
        <v>196726.78815910625</v>
      </c>
      <c r="Q115" s="11">
        <f t="shared" si="23"/>
        <v>-1015.8286833289642</v>
      </c>
      <c r="R115" s="11">
        <f t="shared" si="24"/>
        <v>0</v>
      </c>
      <c r="S115" s="11">
        <f t="shared" si="25"/>
        <v>27335.576102413721</v>
      </c>
      <c r="T115" s="12"/>
      <c r="U115" s="10">
        <f t="shared" si="19"/>
        <v>-100000</v>
      </c>
      <c r="V115" s="13"/>
      <c r="W115" s="10"/>
      <c r="X115" s="10"/>
    </row>
    <row r="116" spans="6:24" x14ac:dyDescent="0.25">
      <c r="F116" s="2">
        <f t="shared" si="26"/>
        <v>10</v>
      </c>
      <c r="G116" s="2">
        <f t="shared" si="27"/>
        <v>6</v>
      </c>
      <c r="H116" s="10"/>
      <c r="I116" s="11"/>
      <c r="J116" s="10"/>
      <c r="K116" s="10"/>
      <c r="L116" s="11"/>
      <c r="M116" s="11">
        <f t="shared" si="20"/>
        <v>-1015.8286833289642</v>
      </c>
      <c r="N116" s="11">
        <f t="shared" si="21"/>
        <v>-1015.8286833289642</v>
      </c>
      <c r="O116" s="11"/>
      <c r="P116" s="11">
        <f t="shared" si="22"/>
        <v>197528.27744562601</v>
      </c>
      <c r="Q116" s="11">
        <f t="shared" si="23"/>
        <v>-1015.8286833289642</v>
      </c>
      <c r="R116" s="11">
        <f t="shared" si="24"/>
        <v>0</v>
      </c>
      <c r="S116" s="11">
        <f t="shared" si="25"/>
        <v>27335.576102413721</v>
      </c>
      <c r="T116" s="12"/>
      <c r="U116" s="10">
        <f t="shared" si="19"/>
        <v>-100000</v>
      </c>
      <c r="V116" s="13"/>
      <c r="W116" s="10"/>
      <c r="X116" s="10"/>
    </row>
    <row r="117" spans="6:24" x14ac:dyDescent="0.25">
      <c r="F117" s="2">
        <f t="shared" si="26"/>
        <v>10</v>
      </c>
      <c r="G117" s="2">
        <f t="shared" si="27"/>
        <v>7</v>
      </c>
      <c r="H117" s="10"/>
      <c r="I117" s="11"/>
      <c r="J117" s="10"/>
      <c r="K117" s="10"/>
      <c r="L117" s="11"/>
      <c r="M117" s="11">
        <f t="shared" si="20"/>
        <v>-1015.8286833289642</v>
      </c>
      <c r="N117" s="11">
        <f t="shared" si="21"/>
        <v>-1015.8286833289642</v>
      </c>
      <c r="O117" s="11"/>
      <c r="P117" s="11">
        <f t="shared" si="22"/>
        <v>198333.03209871033</v>
      </c>
      <c r="Q117" s="11">
        <f t="shared" si="23"/>
        <v>-1015.8286833289642</v>
      </c>
      <c r="R117" s="11">
        <f t="shared" si="24"/>
        <v>0</v>
      </c>
      <c r="S117" s="11">
        <f t="shared" si="25"/>
        <v>27335.576102413721</v>
      </c>
      <c r="T117" s="12"/>
      <c r="U117" s="10">
        <f t="shared" si="19"/>
        <v>-100000</v>
      </c>
      <c r="V117" s="13"/>
      <c r="W117" s="10"/>
      <c r="X117" s="10"/>
    </row>
    <row r="118" spans="6:24" x14ac:dyDescent="0.25">
      <c r="F118" s="2">
        <f t="shared" si="26"/>
        <v>10</v>
      </c>
      <c r="G118" s="2">
        <f t="shared" si="27"/>
        <v>8</v>
      </c>
      <c r="H118" s="10"/>
      <c r="I118" s="11"/>
      <c r="J118" s="10"/>
      <c r="K118" s="10"/>
      <c r="L118" s="11"/>
      <c r="M118" s="11">
        <f t="shared" si="20"/>
        <v>-1015.8286833289642</v>
      </c>
      <c r="N118" s="11">
        <f t="shared" si="21"/>
        <v>-1015.8286833289642</v>
      </c>
      <c r="O118" s="11"/>
      <c r="P118" s="11">
        <f t="shared" si="22"/>
        <v>199141.06542186678</v>
      </c>
      <c r="Q118" s="11">
        <f t="shared" si="23"/>
        <v>-1015.8286833289642</v>
      </c>
      <c r="R118" s="11">
        <f t="shared" si="24"/>
        <v>0</v>
      </c>
      <c r="S118" s="11">
        <f t="shared" si="25"/>
        <v>27335.576102413721</v>
      </c>
      <c r="T118" s="12"/>
      <c r="U118" s="10">
        <f t="shared" si="19"/>
        <v>-100000</v>
      </c>
      <c r="V118" s="13"/>
      <c r="W118" s="10"/>
      <c r="X118" s="10"/>
    </row>
    <row r="119" spans="6:24" x14ac:dyDescent="0.25">
      <c r="F119" s="2">
        <f t="shared" si="26"/>
        <v>10</v>
      </c>
      <c r="G119" s="2">
        <f t="shared" si="27"/>
        <v>9</v>
      </c>
      <c r="H119" s="10"/>
      <c r="I119" s="11"/>
      <c r="J119" s="10"/>
      <c r="K119" s="10"/>
      <c r="L119" s="11"/>
      <c r="M119" s="11">
        <f t="shared" si="20"/>
        <v>-1015.8286833289642</v>
      </c>
      <c r="N119" s="11">
        <f t="shared" si="21"/>
        <v>-1015.8286833289642</v>
      </c>
      <c r="O119" s="11"/>
      <c r="P119" s="11">
        <f t="shared" si="22"/>
        <v>199952.39077280308</v>
      </c>
      <c r="Q119" s="11">
        <f t="shared" si="23"/>
        <v>-1015.8286833289642</v>
      </c>
      <c r="R119" s="11">
        <f t="shared" si="24"/>
        <v>0</v>
      </c>
      <c r="S119" s="11">
        <f t="shared" si="25"/>
        <v>27335.576102413721</v>
      </c>
      <c r="T119" s="12"/>
      <c r="U119" s="10">
        <f t="shared" si="19"/>
        <v>-100000</v>
      </c>
      <c r="V119" s="13"/>
      <c r="W119" s="10"/>
      <c r="X119" s="10"/>
    </row>
    <row r="120" spans="6:24" x14ac:dyDescent="0.25">
      <c r="F120" s="2">
        <f t="shared" si="26"/>
        <v>10</v>
      </c>
      <c r="G120" s="2">
        <f t="shared" si="27"/>
        <v>10</v>
      </c>
      <c r="H120" s="10"/>
      <c r="I120" s="11"/>
      <c r="J120" s="10"/>
      <c r="K120" s="10"/>
      <c r="L120" s="11"/>
      <c r="M120" s="11">
        <f t="shared" si="20"/>
        <v>-1015.8286833289642</v>
      </c>
      <c r="N120" s="11">
        <f t="shared" si="21"/>
        <v>-1015.8286833289642</v>
      </c>
      <c r="O120" s="11"/>
      <c r="P120" s="11">
        <f t="shared" si="22"/>
        <v>200767.0215636479</v>
      </c>
      <c r="Q120" s="11">
        <f t="shared" si="23"/>
        <v>-1015.8286833289642</v>
      </c>
      <c r="R120" s="11">
        <f t="shared" si="24"/>
        <v>0</v>
      </c>
      <c r="S120" s="11">
        <f t="shared" si="25"/>
        <v>27335.576102413721</v>
      </c>
      <c r="T120" s="12"/>
      <c r="U120" s="10">
        <f t="shared" si="19"/>
        <v>-100000</v>
      </c>
      <c r="V120" s="13"/>
      <c r="W120" s="10"/>
      <c r="X120" s="10"/>
    </row>
    <row r="121" spans="6:24" x14ac:dyDescent="0.25">
      <c r="F121" s="2">
        <f t="shared" si="26"/>
        <v>10</v>
      </c>
      <c r="G121" s="2">
        <f t="shared" si="27"/>
        <v>11</v>
      </c>
      <c r="H121" s="10"/>
      <c r="I121" s="11"/>
      <c r="J121" s="10"/>
      <c r="K121" s="10"/>
      <c r="L121" s="11"/>
      <c r="M121" s="11">
        <f t="shared" si="20"/>
        <v>-1015.8286833289642</v>
      </c>
      <c r="N121" s="11">
        <f t="shared" si="21"/>
        <v>-1015.8286833289642</v>
      </c>
      <c r="O121" s="11"/>
      <c r="P121" s="11">
        <f t="shared" si="22"/>
        <v>201584.97126117258</v>
      </c>
      <c r="Q121" s="11">
        <f t="shared" si="23"/>
        <v>-1015.8286833289642</v>
      </c>
      <c r="R121" s="11">
        <f t="shared" si="24"/>
        <v>0</v>
      </c>
      <c r="S121" s="11">
        <f t="shared" si="25"/>
        <v>27335.576102413721</v>
      </c>
      <c r="T121" s="12"/>
      <c r="U121" s="10">
        <f t="shared" si="19"/>
        <v>-100000</v>
      </c>
      <c r="V121" s="13"/>
      <c r="W121" s="10"/>
      <c r="X121" s="10"/>
    </row>
    <row r="122" spans="6:24" x14ac:dyDescent="0.25">
      <c r="F122" s="2">
        <f t="shared" si="26"/>
        <v>10</v>
      </c>
      <c r="G122" s="2">
        <f t="shared" si="27"/>
        <v>12</v>
      </c>
      <c r="H122" s="10"/>
      <c r="I122" s="11"/>
      <c r="J122" s="10"/>
      <c r="K122" s="10"/>
      <c r="L122" s="11"/>
      <c r="M122" s="11">
        <f t="shared" si="20"/>
        <v>-1015.8286833289642</v>
      </c>
      <c r="N122" s="11">
        <f t="shared" si="21"/>
        <v>-1015.8286833289642</v>
      </c>
      <c r="O122" s="11"/>
      <c r="P122" s="11">
        <f t="shared" si="22"/>
        <v>202406.2533870138</v>
      </c>
      <c r="Q122" s="11">
        <f t="shared" si="23"/>
        <v>-1015.8286833289642</v>
      </c>
      <c r="R122" s="11">
        <f t="shared" si="24"/>
        <v>0</v>
      </c>
      <c r="S122" s="11">
        <f t="shared" si="25"/>
        <v>27335.576102413721</v>
      </c>
      <c r="T122" s="10">
        <f>(P122-($P$2+S122))*(1-$C$33)+($P$2+S122)</f>
        <v>183638.58406586378</v>
      </c>
      <c r="U122" s="10">
        <f t="shared" si="19"/>
        <v>83638.584065863775</v>
      </c>
      <c r="V122" s="13"/>
      <c r="W122" s="10"/>
      <c r="X122" s="10"/>
    </row>
    <row r="123" spans="6:24" x14ac:dyDescent="0.25">
      <c r="F123" s="2"/>
      <c r="G123" s="2"/>
      <c r="H123" s="10"/>
      <c r="I123" s="11"/>
      <c r="J123" s="10"/>
      <c r="K123" s="10"/>
      <c r="L123" s="11"/>
      <c r="M123" s="11"/>
      <c r="N123" s="11"/>
      <c r="O123" s="11"/>
      <c r="P123" s="11"/>
      <c r="Q123" s="11"/>
      <c r="R123" s="11"/>
      <c r="S123" s="11"/>
      <c r="T123" s="12"/>
      <c r="U123" s="10"/>
      <c r="V123" s="13"/>
      <c r="W123" s="10"/>
      <c r="X123" s="10"/>
    </row>
    <row r="124" spans="6:24" x14ac:dyDescent="0.25">
      <c r="F124" s="2"/>
      <c r="G124" s="2"/>
      <c r="H124" s="10"/>
      <c r="I124" s="11"/>
      <c r="J124" s="10"/>
      <c r="K124" s="10"/>
      <c r="L124" s="11"/>
      <c r="M124" s="11"/>
      <c r="N124" s="11"/>
      <c r="O124" s="11"/>
      <c r="P124" s="11"/>
      <c r="Q124" s="11"/>
      <c r="R124" s="11"/>
      <c r="S124" s="11"/>
      <c r="T124" s="12"/>
      <c r="U124" s="10"/>
      <c r="V124" s="13"/>
      <c r="W124" s="10"/>
      <c r="X124" s="10"/>
    </row>
    <row r="125" spans="6:24" x14ac:dyDescent="0.25">
      <c r="F125" s="2"/>
      <c r="G125" t="s">
        <v>42</v>
      </c>
      <c r="H125" s="10"/>
      <c r="I125" s="11"/>
      <c r="J125" s="10"/>
      <c r="K125" s="10"/>
      <c r="L125" s="11"/>
      <c r="M125" s="11"/>
      <c r="N125" s="11"/>
      <c r="O125" s="11"/>
      <c r="P125" s="11"/>
      <c r="Q125" s="11"/>
      <c r="R125" s="11"/>
      <c r="S125" s="11"/>
      <c r="T125" s="12"/>
      <c r="U125" s="10"/>
      <c r="V125" s="13"/>
      <c r="W125" s="10"/>
      <c r="X125" s="10"/>
    </row>
    <row r="126" spans="6:24" x14ac:dyDescent="0.25">
      <c r="F126" s="2"/>
      <c r="G126" s="15">
        <f>NPV(4%,G129:G139)</f>
        <v>23134.276354617115</v>
      </c>
      <c r="H126" s="10">
        <v>-124495.90263716056</v>
      </c>
      <c r="I126" s="11"/>
      <c r="J126" s="10"/>
      <c r="K126" s="10"/>
      <c r="L126" s="11"/>
      <c r="M126" s="11"/>
      <c r="N126" s="11"/>
      <c r="O126" s="11"/>
      <c r="P126" s="11"/>
      <c r="Q126" s="11"/>
      <c r="R126" s="11"/>
      <c r="S126" s="11"/>
      <c r="T126" s="12"/>
      <c r="U126" s="10"/>
      <c r="V126" s="13"/>
      <c r="W126" s="10"/>
      <c r="X126" s="10"/>
    </row>
    <row r="127" spans="6:24" x14ac:dyDescent="0.25">
      <c r="F127" s="2"/>
      <c r="H127" s="10"/>
      <c r="I127" s="11"/>
      <c r="J127" s="10"/>
      <c r="K127" s="10"/>
      <c r="L127" s="11"/>
      <c r="M127" s="11"/>
      <c r="N127" s="11"/>
      <c r="O127" s="11"/>
      <c r="P127" s="11"/>
      <c r="Q127" s="11"/>
      <c r="R127" s="11"/>
      <c r="S127" s="11"/>
      <c r="T127" s="12"/>
      <c r="U127" s="10"/>
      <c r="V127" s="13"/>
      <c r="W127" s="10"/>
      <c r="X127" s="10"/>
    </row>
    <row r="128" spans="6:24" x14ac:dyDescent="0.25">
      <c r="F128" s="2" t="s">
        <v>0</v>
      </c>
      <c r="G128" s="2" t="s">
        <v>48</v>
      </c>
      <c r="H128" s="10"/>
      <c r="I128" s="11"/>
      <c r="J128" s="10"/>
      <c r="K128" s="10"/>
      <c r="L128" s="11"/>
      <c r="M128" s="11"/>
      <c r="N128" s="11"/>
      <c r="O128" s="11"/>
      <c r="P128" s="11"/>
      <c r="Q128" s="11"/>
      <c r="R128" s="11"/>
      <c r="S128" s="11"/>
      <c r="T128" s="12"/>
      <c r="U128" s="10"/>
      <c r="V128" s="13"/>
      <c r="W128" s="10"/>
      <c r="X128" s="10"/>
    </row>
    <row r="129" spans="6:24" x14ac:dyDescent="0.25">
      <c r="F129" s="2">
        <v>0</v>
      </c>
      <c r="G129" s="2">
        <f t="shared" ref="G129:G139" si="28">SUMIFS($T$2:$T$122,$F$2:$F$122,F129)</f>
        <v>-100000</v>
      </c>
      <c r="H129" s="10"/>
      <c r="I129" s="11"/>
      <c r="J129" s="10"/>
      <c r="K129" s="10"/>
      <c r="L129" s="11"/>
      <c r="M129" s="11"/>
      <c r="N129" s="11"/>
      <c r="O129" s="11"/>
      <c r="P129" s="11"/>
      <c r="Q129" s="11"/>
      <c r="R129" s="11"/>
      <c r="S129" s="11"/>
      <c r="T129" s="12"/>
      <c r="U129" s="10"/>
      <c r="V129" s="13"/>
      <c r="W129" s="10"/>
      <c r="X129" s="10"/>
    </row>
    <row r="130" spans="6:24" x14ac:dyDescent="0.25">
      <c r="F130" s="2">
        <f>F129+1</f>
        <v>1</v>
      </c>
      <c r="G130" s="21">
        <f t="shared" si="28"/>
        <v>0</v>
      </c>
      <c r="H130" s="10"/>
      <c r="I130" s="11"/>
      <c r="J130" s="10"/>
      <c r="K130" s="10"/>
      <c r="L130" s="11"/>
      <c r="M130" s="11"/>
      <c r="N130" s="11"/>
      <c r="O130" s="11"/>
      <c r="P130" s="11"/>
      <c r="Q130" s="11"/>
      <c r="R130" s="11"/>
      <c r="S130" s="11"/>
      <c r="T130" s="12"/>
      <c r="U130" s="10"/>
      <c r="V130" s="13"/>
      <c r="W130" s="10"/>
      <c r="X130" s="10"/>
    </row>
    <row r="131" spans="6:24" x14ac:dyDescent="0.25">
      <c r="F131" s="2">
        <f t="shared" ref="F131:F139" si="29">F130+1</f>
        <v>2</v>
      </c>
      <c r="G131" s="21">
        <f t="shared" si="28"/>
        <v>0</v>
      </c>
      <c r="H131" s="10"/>
      <c r="I131" s="11"/>
      <c r="J131" s="10"/>
      <c r="K131" s="10"/>
      <c r="L131" s="11"/>
      <c r="M131" s="11"/>
      <c r="N131" s="11"/>
      <c r="O131" s="11"/>
      <c r="P131" s="11"/>
      <c r="Q131" s="11"/>
      <c r="R131" s="11"/>
      <c r="S131" s="11"/>
      <c r="T131" s="12"/>
      <c r="U131" s="10"/>
      <c r="V131" s="13"/>
      <c r="W131" s="10"/>
      <c r="X131" s="10"/>
    </row>
    <row r="132" spans="6:24" x14ac:dyDescent="0.25">
      <c r="F132" s="2">
        <f t="shared" si="29"/>
        <v>3</v>
      </c>
      <c r="G132" s="21">
        <f t="shared" si="28"/>
        <v>0</v>
      </c>
      <c r="H132" s="10"/>
      <c r="I132" s="11"/>
      <c r="J132" s="10"/>
      <c r="K132" s="10"/>
      <c r="L132" s="11"/>
      <c r="M132" s="11"/>
      <c r="N132" s="11"/>
      <c r="O132" s="11"/>
      <c r="P132" s="11"/>
      <c r="Q132" s="11"/>
      <c r="R132" s="11"/>
      <c r="S132" s="11"/>
      <c r="T132" s="12"/>
      <c r="U132" s="10"/>
      <c r="V132" s="13"/>
      <c r="W132" s="10"/>
      <c r="X132" s="10"/>
    </row>
    <row r="133" spans="6:24" x14ac:dyDescent="0.25">
      <c r="F133" s="2">
        <f t="shared" si="29"/>
        <v>4</v>
      </c>
      <c r="G133" s="21">
        <f t="shared" si="28"/>
        <v>0</v>
      </c>
    </row>
    <row r="134" spans="6:24" x14ac:dyDescent="0.25">
      <c r="F134" s="2">
        <f t="shared" si="29"/>
        <v>5</v>
      </c>
      <c r="G134" s="21">
        <f t="shared" si="28"/>
        <v>0</v>
      </c>
    </row>
    <row r="135" spans="6:24" x14ac:dyDescent="0.25">
      <c r="F135" s="2">
        <f t="shared" si="29"/>
        <v>6</v>
      </c>
      <c r="G135" s="21">
        <f t="shared" si="28"/>
        <v>0</v>
      </c>
    </row>
    <row r="136" spans="6:24" x14ac:dyDescent="0.25">
      <c r="F136" s="2">
        <f t="shared" si="29"/>
        <v>7</v>
      </c>
      <c r="G136" s="21">
        <f t="shared" si="28"/>
        <v>0</v>
      </c>
    </row>
    <row r="137" spans="6:24" x14ac:dyDescent="0.25">
      <c r="F137" s="2">
        <f t="shared" si="29"/>
        <v>8</v>
      </c>
      <c r="G137" s="21">
        <f t="shared" si="28"/>
        <v>0</v>
      </c>
    </row>
    <row r="138" spans="6:24" x14ac:dyDescent="0.25">
      <c r="F138" s="2">
        <f t="shared" si="29"/>
        <v>9</v>
      </c>
      <c r="G138" s="21">
        <f t="shared" si="28"/>
        <v>0</v>
      </c>
    </row>
    <row r="139" spans="6:24" x14ac:dyDescent="0.25">
      <c r="F139" s="2">
        <f t="shared" si="29"/>
        <v>10</v>
      </c>
      <c r="G139" s="21">
        <f t="shared" si="28"/>
        <v>183638.58406586378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6651-CA27-48CC-83CA-11AA528321E0}">
  <dimension ref="B1:AB139"/>
  <sheetViews>
    <sheetView topLeftCell="G1" workbookViewId="0">
      <pane ySplit="1" topLeftCell="A107" activePane="bottomLeft" state="frozen"/>
      <selection pane="bottomLeft" activeCell="S124" sqref="S124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7" max="17" width="12.85546875" customWidth="1"/>
    <col min="23" max="23" width="11.28515625" bestFit="1" customWidth="1"/>
  </cols>
  <sheetData>
    <row r="1" spans="2:28" x14ac:dyDescent="0.25">
      <c r="F1" t="s">
        <v>0</v>
      </c>
      <c r="G1" t="s">
        <v>17</v>
      </c>
      <c r="H1" t="s">
        <v>4</v>
      </c>
      <c r="I1" t="s">
        <v>5</v>
      </c>
      <c r="J1" t="s">
        <v>6</v>
      </c>
      <c r="K1" t="s">
        <v>33</v>
      </c>
      <c r="L1" t="s">
        <v>61</v>
      </c>
      <c r="M1" t="s">
        <v>44</v>
      </c>
      <c r="N1" t="s">
        <v>40</v>
      </c>
      <c r="O1" t="s">
        <v>54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</row>
    <row r="2" spans="2:28" x14ac:dyDescent="0.25">
      <c r="F2">
        <v>0</v>
      </c>
      <c r="G2">
        <v>0</v>
      </c>
      <c r="K2" s="16">
        <f>$C$11</f>
        <v>160000</v>
      </c>
      <c r="P2" s="16">
        <f>-$C$10</f>
        <v>-100000</v>
      </c>
      <c r="Q2" s="17">
        <f>P2</f>
        <v>-100000</v>
      </c>
    </row>
    <row r="3" spans="2:28" x14ac:dyDescent="0.25">
      <c r="F3" s="2">
        <v>1</v>
      </c>
      <c r="G3" s="2">
        <v>1</v>
      </c>
      <c r="H3" s="10">
        <f t="shared" ref="H3:H62" si="0">-$C$14</f>
        <v>-887.35615656627056</v>
      </c>
      <c r="I3" s="11">
        <f>IF($G3=1,-K2*$D$12,I2)</f>
        <v>-400</v>
      </c>
      <c r="J3" s="10">
        <f>H3-I3</f>
        <v>-487.35615656627056</v>
      </c>
      <c r="K3" s="10">
        <f>K2+J3</f>
        <v>159512.64384343373</v>
      </c>
      <c r="L3" s="11">
        <f>-($C$15/12+$C$16/12+$C$17*$C$11/12+$C$18/12*(1+$C$19)^($F3-1)+$C$20*R3/12)</f>
        <v>-438.33333333333331</v>
      </c>
      <c r="M3" s="11"/>
      <c r="N3" s="11"/>
      <c r="O3" s="11">
        <f>$C$34*(1+$C$35)^($F3-1)</f>
        <v>850</v>
      </c>
      <c r="P3" s="12">
        <f>L3+H3+N3+O3</f>
        <v>-475.68948989960381</v>
      </c>
      <c r="Q3" s="10">
        <f>Q2+P3</f>
        <v>-100475.68948989961</v>
      </c>
      <c r="R3" s="13">
        <f>$C$4*(1+$C$21)^($F3)</f>
        <v>245999.99999999997</v>
      </c>
      <c r="S3" s="10">
        <f>K3</f>
        <v>159512.64384343373</v>
      </c>
      <c r="T3" s="10">
        <f>R3-S3+Q3</f>
        <v>-13988.333333333372</v>
      </c>
      <c r="V3" s="2"/>
      <c r="W3" s="2"/>
      <c r="X3" s="4"/>
      <c r="Y3" s="2"/>
      <c r="Z3" s="2"/>
      <c r="AA3" s="2"/>
      <c r="AB3" s="2"/>
    </row>
    <row r="4" spans="2:28" x14ac:dyDescent="0.25">
      <c r="B4" t="s">
        <v>9</v>
      </c>
      <c r="C4">
        <v>240000</v>
      </c>
      <c r="F4" s="2">
        <v>1</v>
      </c>
      <c r="G4" s="2">
        <v>2</v>
      </c>
      <c r="H4" s="10">
        <f t="shared" si="0"/>
        <v>-887.35615656627056</v>
      </c>
      <c r="I4" s="11">
        <f>-K3*$D$12</f>
        <v>-398.78160960858435</v>
      </c>
      <c r="J4" s="10">
        <f>H4-I4</f>
        <v>-488.57454695768621</v>
      </c>
      <c r="K4" s="10">
        <f t="shared" ref="K4:K62" si="1">K3+J4</f>
        <v>159024.06929647605</v>
      </c>
      <c r="L4" s="11">
        <f t="shared" ref="L4:L62" si="2">-($C$15/12+$C$17*$C$11/12+$C$18/12*(1+$C$19)^($F4-1)+$C$20*R4/12)</f>
        <v>-438.33333333333331</v>
      </c>
      <c r="M4" s="11"/>
      <c r="N4" s="11"/>
      <c r="O4" s="11">
        <f t="shared" ref="O4:O64" si="3">$C$34*(1+$C$35)^($F4-1)</f>
        <v>850</v>
      </c>
      <c r="P4" s="12">
        <f t="shared" ref="P4:P67" si="4">L4+H4+N4+O4</f>
        <v>-475.68948989960381</v>
      </c>
      <c r="Q4" s="10">
        <f>Q3+P4</f>
        <v>-100951.37897979922</v>
      </c>
      <c r="R4" s="13">
        <f t="shared" ref="R4:R62" si="5">$C$4*(1+$C$21)^($F4)</f>
        <v>245999.99999999997</v>
      </c>
      <c r="S4" s="10">
        <f t="shared" ref="S4:S60" si="6">K4</f>
        <v>159024.06929647605</v>
      </c>
      <c r="T4" s="10">
        <f t="shared" ref="T4:T18" si="7">R4-S4+Q4</f>
        <v>-13975.448276275303</v>
      </c>
      <c r="V4" s="2"/>
      <c r="W4" s="2"/>
      <c r="X4" s="4"/>
      <c r="Y4" s="2"/>
      <c r="Z4" s="2"/>
      <c r="AA4" s="2"/>
      <c r="AB4" s="2"/>
    </row>
    <row r="5" spans="2:28" x14ac:dyDescent="0.25">
      <c r="B5" t="s">
        <v>10</v>
      </c>
      <c r="C5" s="7">
        <v>7.4999999999999997E-2</v>
      </c>
      <c r="F5" s="2">
        <v>1</v>
      </c>
      <c r="G5" s="2">
        <v>3</v>
      </c>
      <c r="H5" s="10">
        <f t="shared" si="0"/>
        <v>-887.35615656627056</v>
      </c>
      <c r="I5" s="11">
        <f>-K4*$D$12</f>
        <v>-397.56017324119011</v>
      </c>
      <c r="J5" s="10">
        <f t="shared" ref="J5:J62" si="8">H5-I5</f>
        <v>-489.79598332508044</v>
      </c>
      <c r="K5" s="10">
        <f t="shared" si="1"/>
        <v>158534.27331315097</v>
      </c>
      <c r="L5" s="11">
        <f t="shared" si="2"/>
        <v>-438.33333333333331</v>
      </c>
      <c r="M5" s="11"/>
      <c r="N5" s="11"/>
      <c r="O5" s="11">
        <f t="shared" si="3"/>
        <v>850</v>
      </c>
      <c r="P5" s="12">
        <f t="shared" si="4"/>
        <v>-475.68948989960381</v>
      </c>
      <c r="Q5" s="10">
        <f>Q4+P5</f>
        <v>-101427.06846969883</v>
      </c>
      <c r="R5" s="13">
        <f t="shared" si="5"/>
        <v>245999.99999999997</v>
      </c>
      <c r="S5" s="10">
        <f t="shared" si="6"/>
        <v>158534.27331315097</v>
      </c>
      <c r="T5" s="10">
        <f t="shared" si="7"/>
        <v>-13961.341782849835</v>
      </c>
      <c r="V5" s="2"/>
      <c r="W5" s="2"/>
      <c r="X5" s="4"/>
      <c r="Y5" s="2"/>
      <c r="Z5" s="2"/>
      <c r="AA5" s="2"/>
      <c r="AB5" s="2"/>
    </row>
    <row r="6" spans="2:28" x14ac:dyDescent="0.25">
      <c r="B6" t="s">
        <v>11</v>
      </c>
      <c r="C6" s="7">
        <v>0</v>
      </c>
      <c r="F6" s="2">
        <v>1</v>
      </c>
      <c r="G6" s="2">
        <v>4</v>
      </c>
      <c r="H6" s="10">
        <f t="shared" si="0"/>
        <v>-887.35615656627056</v>
      </c>
      <c r="I6" s="11">
        <f t="shared" ref="I6:I62" si="9">-K5*$D$12</f>
        <v>-396.33568328287743</v>
      </c>
      <c r="J6" s="10">
        <f t="shared" si="8"/>
        <v>-491.02047328339313</v>
      </c>
      <c r="K6" s="10">
        <f t="shared" si="1"/>
        <v>158043.25283986758</v>
      </c>
      <c r="L6" s="11">
        <f t="shared" si="2"/>
        <v>-438.33333333333331</v>
      </c>
      <c r="M6" s="11"/>
      <c r="N6" s="11"/>
      <c r="O6" s="11">
        <f t="shared" si="3"/>
        <v>850</v>
      </c>
      <c r="P6" s="12">
        <f t="shared" si="4"/>
        <v>-475.68948989960381</v>
      </c>
      <c r="Q6" s="10">
        <f t="shared" ref="Q6:Q61" si="10">Q5+P6</f>
        <v>-101902.75795959844</v>
      </c>
      <c r="R6" s="13">
        <f t="shared" si="5"/>
        <v>245999.99999999997</v>
      </c>
      <c r="S6" s="10">
        <f t="shared" si="6"/>
        <v>158043.25283986758</v>
      </c>
      <c r="T6" s="10">
        <f t="shared" si="7"/>
        <v>-13946.01079946605</v>
      </c>
      <c r="V6" s="2"/>
      <c r="W6" s="2"/>
      <c r="X6" s="4"/>
      <c r="Y6" s="2"/>
      <c r="Z6" s="2"/>
      <c r="AA6" s="2"/>
      <c r="AB6" s="2"/>
    </row>
    <row r="7" spans="2:28" x14ac:dyDescent="0.25">
      <c r="B7" t="s">
        <v>12</v>
      </c>
      <c r="C7">
        <v>2000</v>
      </c>
      <c r="F7" s="2">
        <v>1</v>
      </c>
      <c r="G7" s="2">
        <v>5</v>
      </c>
      <c r="H7" s="10">
        <f t="shared" si="0"/>
        <v>-887.35615656627056</v>
      </c>
      <c r="I7" s="11">
        <f t="shared" si="9"/>
        <v>-395.10813209966898</v>
      </c>
      <c r="J7" s="10">
        <f t="shared" si="8"/>
        <v>-492.24802446660158</v>
      </c>
      <c r="K7" s="10">
        <f t="shared" si="1"/>
        <v>157551.00481540099</v>
      </c>
      <c r="L7" s="11">
        <f t="shared" si="2"/>
        <v>-438.33333333333331</v>
      </c>
      <c r="M7" s="11"/>
      <c r="N7" s="11"/>
      <c r="O7" s="11">
        <f t="shared" si="3"/>
        <v>850</v>
      </c>
      <c r="P7" s="12">
        <f t="shared" si="4"/>
        <v>-475.68948989960381</v>
      </c>
      <c r="Q7" s="10">
        <f t="shared" si="10"/>
        <v>-102378.44744949805</v>
      </c>
      <c r="R7" s="13">
        <f t="shared" si="5"/>
        <v>245999.99999999997</v>
      </c>
      <c r="S7" s="10">
        <f t="shared" si="6"/>
        <v>157551.00481540099</v>
      </c>
      <c r="T7" s="10">
        <f t="shared" si="7"/>
        <v>-13929.452264899068</v>
      </c>
      <c r="V7" s="2"/>
      <c r="W7" s="2"/>
      <c r="X7" s="4"/>
      <c r="Y7" s="2"/>
      <c r="Z7" s="2"/>
      <c r="AA7" s="2"/>
      <c r="AB7" s="2"/>
    </row>
    <row r="8" spans="2:28" x14ac:dyDescent="0.25">
      <c r="B8" t="s">
        <v>13</v>
      </c>
      <c r="C8">
        <v>0</v>
      </c>
      <c r="F8" s="2">
        <v>1</v>
      </c>
      <c r="G8" s="2">
        <v>6</v>
      </c>
      <c r="H8" s="10">
        <f t="shared" si="0"/>
        <v>-887.35615656627056</v>
      </c>
      <c r="I8" s="11">
        <f t="shared" si="9"/>
        <v>-393.87751203850246</v>
      </c>
      <c r="J8" s="10">
        <f t="shared" si="8"/>
        <v>-493.4786445277681</v>
      </c>
      <c r="K8" s="10">
        <f t="shared" si="1"/>
        <v>157057.52617087323</v>
      </c>
      <c r="L8" s="11">
        <f t="shared" si="2"/>
        <v>-438.33333333333331</v>
      </c>
      <c r="M8" s="11"/>
      <c r="N8" s="11"/>
      <c r="O8" s="11">
        <f t="shared" si="3"/>
        <v>850</v>
      </c>
      <c r="P8" s="12">
        <f t="shared" si="4"/>
        <v>-475.68948989960381</v>
      </c>
      <c r="Q8" s="10">
        <f t="shared" si="10"/>
        <v>-102854.13693939766</v>
      </c>
      <c r="R8" s="13">
        <f t="shared" si="5"/>
        <v>245999.99999999997</v>
      </c>
      <c r="S8" s="10">
        <f t="shared" si="6"/>
        <v>157057.52617087323</v>
      </c>
      <c r="T8" s="10">
        <f t="shared" si="7"/>
        <v>-13911.663110270922</v>
      </c>
      <c r="V8" s="2"/>
      <c r="W8" s="2"/>
      <c r="X8" s="4"/>
      <c r="Y8" s="2"/>
      <c r="Z8" s="2"/>
      <c r="AA8" s="2"/>
      <c r="AB8" s="2"/>
    </row>
    <row r="9" spans="2:28" x14ac:dyDescent="0.25">
      <c r="B9" t="s">
        <v>14</v>
      </c>
      <c r="C9">
        <f>C4+(C5+C6)*C4+C7+C8</f>
        <v>260000</v>
      </c>
      <c r="F9" s="2">
        <v>1</v>
      </c>
      <c r="G9" s="2">
        <v>7</v>
      </c>
      <c r="H9" s="10">
        <f t="shared" si="0"/>
        <v>-887.35615656627056</v>
      </c>
      <c r="I9" s="11">
        <f t="shared" si="9"/>
        <v>-392.64381542718309</v>
      </c>
      <c r="J9" s="10">
        <f t="shared" si="8"/>
        <v>-494.71234113908747</v>
      </c>
      <c r="K9" s="10">
        <f t="shared" si="1"/>
        <v>156562.81382973414</v>
      </c>
      <c r="L9" s="11">
        <f t="shared" si="2"/>
        <v>-438.33333333333331</v>
      </c>
      <c r="M9" s="11"/>
      <c r="N9" s="11"/>
      <c r="O9" s="11">
        <f t="shared" si="3"/>
        <v>850</v>
      </c>
      <c r="P9" s="12">
        <f t="shared" si="4"/>
        <v>-475.68948989960381</v>
      </c>
      <c r="Q9" s="10">
        <f t="shared" si="10"/>
        <v>-103329.82642929727</v>
      </c>
      <c r="R9" s="13">
        <f t="shared" si="5"/>
        <v>245999.99999999997</v>
      </c>
      <c r="S9" s="10">
        <f t="shared" si="6"/>
        <v>156562.81382973414</v>
      </c>
      <c r="T9" s="10">
        <f t="shared" si="7"/>
        <v>-13892.640259031439</v>
      </c>
      <c r="V9" s="2"/>
      <c r="W9" s="2"/>
      <c r="X9" s="4"/>
      <c r="Y9" s="2"/>
      <c r="Z9" s="2"/>
      <c r="AA9" s="2"/>
      <c r="AB9" s="2"/>
    </row>
    <row r="10" spans="2:28" x14ac:dyDescent="0.25">
      <c r="B10" t="s">
        <v>15</v>
      </c>
      <c r="C10">
        <v>100000</v>
      </c>
      <c r="F10" s="2">
        <v>1</v>
      </c>
      <c r="G10" s="2">
        <v>8</v>
      </c>
      <c r="H10" s="10">
        <f t="shared" si="0"/>
        <v>-887.35615656627056</v>
      </c>
      <c r="I10" s="11">
        <f t="shared" si="9"/>
        <v>-391.40703457433534</v>
      </c>
      <c r="J10" s="10">
        <f t="shared" si="8"/>
        <v>-495.94912199193521</v>
      </c>
      <c r="K10" s="10">
        <f t="shared" si="1"/>
        <v>156066.86470774221</v>
      </c>
      <c r="L10" s="11">
        <f t="shared" si="2"/>
        <v>-438.33333333333331</v>
      </c>
      <c r="M10" s="11"/>
      <c r="N10" s="11"/>
      <c r="O10" s="11">
        <f t="shared" si="3"/>
        <v>850</v>
      </c>
      <c r="P10" s="12">
        <f t="shared" si="4"/>
        <v>-475.68948989960381</v>
      </c>
      <c r="Q10" s="10">
        <f t="shared" si="10"/>
        <v>-103805.51591919689</v>
      </c>
      <c r="R10" s="13">
        <f t="shared" si="5"/>
        <v>245999.99999999997</v>
      </c>
      <c r="S10" s="10">
        <f t="shared" si="6"/>
        <v>156066.86470774221</v>
      </c>
      <c r="T10" s="10">
        <f t="shared" si="7"/>
        <v>-13872.380626939121</v>
      </c>
      <c r="V10" s="2"/>
      <c r="W10" s="2"/>
      <c r="X10" s="4"/>
      <c r="Y10" s="2"/>
      <c r="Z10" s="2"/>
      <c r="AA10" s="2"/>
      <c r="AB10" s="2"/>
    </row>
    <row r="11" spans="2:28" x14ac:dyDescent="0.25">
      <c r="B11" t="s">
        <v>16</v>
      </c>
      <c r="C11">
        <f>C9-C10</f>
        <v>160000</v>
      </c>
      <c r="F11" s="2">
        <v>1</v>
      </c>
      <c r="G11" s="2">
        <v>9</v>
      </c>
      <c r="H11" s="10">
        <f t="shared" si="0"/>
        <v>-887.35615656627056</v>
      </c>
      <c r="I11" s="11">
        <f t="shared" si="9"/>
        <v>-390.16716176935552</v>
      </c>
      <c r="J11" s="10">
        <f t="shared" si="8"/>
        <v>-497.18899479691504</v>
      </c>
      <c r="K11" s="10">
        <f t="shared" si="1"/>
        <v>155569.67571294529</v>
      </c>
      <c r="L11" s="11">
        <f t="shared" si="2"/>
        <v>-438.33333333333331</v>
      </c>
      <c r="M11" s="11"/>
      <c r="N11" s="11"/>
      <c r="O11" s="11">
        <f t="shared" si="3"/>
        <v>850</v>
      </c>
      <c r="P11" s="12">
        <f t="shared" si="4"/>
        <v>-475.68948989960381</v>
      </c>
      <c r="Q11" s="10">
        <f t="shared" si="10"/>
        <v>-104281.2054090965</v>
      </c>
      <c r="R11" s="13">
        <f t="shared" si="5"/>
        <v>245999.99999999997</v>
      </c>
      <c r="S11" s="10">
        <f t="shared" si="6"/>
        <v>155569.67571294529</v>
      </c>
      <c r="T11" s="10">
        <f t="shared" si="7"/>
        <v>-13850.881122041814</v>
      </c>
      <c r="V11" s="2"/>
      <c r="W11" s="2"/>
      <c r="X11" s="4"/>
      <c r="Y11" s="2"/>
      <c r="Z11" s="2"/>
      <c r="AA11" s="2"/>
      <c r="AB11" s="2"/>
    </row>
    <row r="12" spans="2:28" x14ac:dyDescent="0.25">
      <c r="B12" t="s">
        <v>7</v>
      </c>
      <c r="C12" s="7">
        <v>0.03</v>
      </c>
      <c r="D12" s="9">
        <f>C12/12</f>
        <v>2.5000000000000001E-3</v>
      </c>
      <c r="E12" s="9"/>
      <c r="F12" s="2">
        <v>1</v>
      </c>
      <c r="G12" s="2">
        <v>10</v>
      </c>
      <c r="H12" s="10">
        <f t="shared" si="0"/>
        <v>-887.35615656627056</v>
      </c>
      <c r="I12" s="11">
        <f t="shared" si="9"/>
        <v>-388.92418928236322</v>
      </c>
      <c r="J12" s="10">
        <f t="shared" si="8"/>
        <v>-498.43196728390734</v>
      </c>
      <c r="K12" s="10">
        <f t="shared" si="1"/>
        <v>155071.24374566137</v>
      </c>
      <c r="L12" s="11">
        <f t="shared" si="2"/>
        <v>-438.33333333333331</v>
      </c>
      <c r="M12" s="11"/>
      <c r="N12" s="11"/>
      <c r="O12" s="11">
        <f t="shared" si="3"/>
        <v>850</v>
      </c>
      <c r="P12" s="12">
        <f t="shared" si="4"/>
        <v>-475.68948989960381</v>
      </c>
      <c r="Q12" s="10">
        <f t="shared" si="10"/>
        <v>-104756.89489899611</v>
      </c>
      <c r="R12" s="13">
        <f t="shared" si="5"/>
        <v>245999.99999999997</v>
      </c>
      <c r="S12" s="10">
        <f t="shared" si="6"/>
        <v>155071.24374566137</v>
      </c>
      <c r="T12" s="10">
        <f t="shared" si="7"/>
        <v>-13828.138644657505</v>
      </c>
      <c r="V12" s="2"/>
      <c r="W12" s="2"/>
      <c r="X12" s="4"/>
      <c r="Y12" s="2"/>
      <c r="Z12" s="2"/>
      <c r="AA12" s="2"/>
      <c r="AB12" s="2"/>
    </row>
    <row r="13" spans="2:28" x14ac:dyDescent="0.25">
      <c r="B13" t="s">
        <v>8</v>
      </c>
      <c r="C13">
        <v>20</v>
      </c>
      <c r="D13" s="8">
        <f>C13*12</f>
        <v>240</v>
      </c>
      <c r="E13" s="8"/>
      <c r="F13" s="2">
        <v>1</v>
      </c>
      <c r="G13" s="2">
        <v>11</v>
      </c>
      <c r="H13" s="10">
        <f t="shared" si="0"/>
        <v>-887.35615656627056</v>
      </c>
      <c r="I13" s="11">
        <f t="shared" si="9"/>
        <v>-387.67810936415344</v>
      </c>
      <c r="J13" s="10">
        <f t="shared" si="8"/>
        <v>-499.67804720211711</v>
      </c>
      <c r="K13" s="10">
        <f t="shared" si="1"/>
        <v>154571.56569845925</v>
      </c>
      <c r="L13" s="11">
        <f t="shared" si="2"/>
        <v>-438.33333333333331</v>
      </c>
      <c r="M13" s="11"/>
      <c r="N13" s="11"/>
      <c r="O13" s="11">
        <f t="shared" si="3"/>
        <v>850</v>
      </c>
      <c r="P13" s="12">
        <f t="shared" si="4"/>
        <v>-475.68948989960381</v>
      </c>
      <c r="Q13" s="10">
        <f t="shared" si="10"/>
        <v>-105232.58438889572</v>
      </c>
      <c r="R13" s="13">
        <f t="shared" si="5"/>
        <v>245999.99999999997</v>
      </c>
      <c r="S13" s="10">
        <f t="shared" si="6"/>
        <v>154571.56569845925</v>
      </c>
      <c r="T13" s="10">
        <f t="shared" si="7"/>
        <v>-13804.150087354996</v>
      </c>
      <c r="V13" s="2"/>
      <c r="W13" s="2"/>
      <c r="X13" s="4"/>
      <c r="Y13" s="2"/>
      <c r="Z13" s="2"/>
      <c r="AA13" s="2"/>
      <c r="AB13" s="2"/>
    </row>
    <row r="14" spans="2:28" x14ac:dyDescent="0.25">
      <c r="B14" t="s">
        <v>32</v>
      </c>
      <c r="C14" s="3">
        <f>C11*(D12*(1+D12)^D13)/((1+D12)^D13-1)</f>
        <v>887.35615656627056</v>
      </c>
      <c r="F14" s="2">
        <v>1</v>
      </c>
      <c r="G14" s="2">
        <v>12</v>
      </c>
      <c r="H14" s="10">
        <f t="shared" si="0"/>
        <v>-887.35615656627056</v>
      </c>
      <c r="I14" s="11">
        <f t="shared" si="9"/>
        <v>-386.42891424614811</v>
      </c>
      <c r="J14" s="10">
        <f t="shared" si="8"/>
        <v>-500.92724232012245</v>
      </c>
      <c r="K14" s="10">
        <f t="shared" si="1"/>
        <v>154070.63845613913</v>
      </c>
      <c r="L14" s="11">
        <f t="shared" si="2"/>
        <v>-438.33333333333331</v>
      </c>
      <c r="M14" s="11"/>
      <c r="N14" s="11"/>
      <c r="O14" s="11">
        <f t="shared" si="3"/>
        <v>850</v>
      </c>
      <c r="P14" s="12">
        <f t="shared" si="4"/>
        <v>-475.68948989960381</v>
      </c>
      <c r="Q14" s="10">
        <f t="shared" si="10"/>
        <v>-105708.27387879533</v>
      </c>
      <c r="R14" s="13">
        <f t="shared" si="5"/>
        <v>245999.99999999997</v>
      </c>
      <c r="S14" s="10">
        <f t="shared" si="6"/>
        <v>154070.63845613913</v>
      </c>
      <c r="T14" s="10">
        <f t="shared" si="7"/>
        <v>-13778.912334934488</v>
      </c>
      <c r="V14" s="2"/>
      <c r="W14" s="2"/>
      <c r="X14" s="4"/>
      <c r="Y14" s="2"/>
      <c r="Z14" s="2"/>
      <c r="AA14" s="2"/>
      <c r="AB14" s="2"/>
    </row>
    <row r="15" spans="2:28" x14ac:dyDescent="0.25">
      <c r="B15" t="s">
        <v>23</v>
      </c>
      <c r="C15" s="2">
        <v>1200</v>
      </c>
      <c r="F15" s="2">
        <f>F3+1</f>
        <v>2</v>
      </c>
      <c r="G15" s="2">
        <f>G3</f>
        <v>1</v>
      </c>
      <c r="H15" s="10">
        <f t="shared" si="0"/>
        <v>-887.35615656627056</v>
      </c>
      <c r="I15" s="11">
        <f t="shared" si="9"/>
        <v>-385.17659614034784</v>
      </c>
      <c r="J15" s="10">
        <f t="shared" si="8"/>
        <v>-502.17956042592272</v>
      </c>
      <c r="K15" s="10">
        <f t="shared" si="1"/>
        <v>153568.45889571321</v>
      </c>
      <c r="L15" s="11">
        <f t="shared" si="2"/>
        <v>-445.45833333333331</v>
      </c>
      <c r="M15" s="11"/>
      <c r="N15" s="11"/>
      <c r="O15" s="11">
        <f t="shared" si="3"/>
        <v>867</v>
      </c>
      <c r="P15" s="12">
        <f t="shared" si="4"/>
        <v>-465.81448989960381</v>
      </c>
      <c r="Q15" s="10">
        <f t="shared" si="10"/>
        <v>-106174.08836869494</v>
      </c>
      <c r="R15" s="13">
        <f t="shared" si="5"/>
        <v>252149.99999999997</v>
      </c>
      <c r="S15" s="10">
        <f t="shared" si="6"/>
        <v>153568.45889571321</v>
      </c>
      <c r="T15" s="10">
        <f t="shared" si="7"/>
        <v>-7592.5472644081747</v>
      </c>
      <c r="V15" s="2"/>
      <c r="W15" s="2"/>
      <c r="X15" s="4"/>
      <c r="Y15" s="2"/>
      <c r="Z15" s="2"/>
      <c r="AA15" s="2"/>
      <c r="AB15" s="2"/>
    </row>
    <row r="16" spans="2:28" x14ac:dyDescent="0.25">
      <c r="B16" t="s">
        <v>24</v>
      </c>
      <c r="C16" s="2">
        <v>0</v>
      </c>
      <c r="F16" s="2">
        <f>F4+1</f>
        <v>2</v>
      </c>
      <c r="G16" s="2">
        <f>G4</f>
        <v>2</v>
      </c>
      <c r="H16" s="10">
        <f t="shared" si="0"/>
        <v>-887.35615656627056</v>
      </c>
      <c r="I16" s="11">
        <f t="shared" si="9"/>
        <v>-383.92114723928302</v>
      </c>
      <c r="J16" s="10">
        <f t="shared" si="8"/>
        <v>-503.43500932698754</v>
      </c>
      <c r="K16" s="10">
        <f t="shared" si="1"/>
        <v>153065.02388638622</v>
      </c>
      <c r="L16" s="11">
        <f t="shared" si="2"/>
        <v>-445.45833333333331</v>
      </c>
      <c r="M16" s="11"/>
      <c r="N16" s="11"/>
      <c r="O16" s="11">
        <f t="shared" si="3"/>
        <v>867</v>
      </c>
      <c r="P16" s="12">
        <f t="shared" si="4"/>
        <v>-465.81448989960381</v>
      </c>
      <c r="Q16" s="10">
        <f t="shared" si="10"/>
        <v>-106639.90285859455</v>
      </c>
      <c r="R16" s="13">
        <f t="shared" si="5"/>
        <v>252149.99999999997</v>
      </c>
      <c r="S16" s="10">
        <f t="shared" si="6"/>
        <v>153065.02388638622</v>
      </c>
      <c r="T16" s="10">
        <f t="shared" si="7"/>
        <v>-7554.9267449807958</v>
      </c>
      <c r="V16" s="2"/>
      <c r="W16" s="2"/>
      <c r="X16" s="4"/>
      <c r="Y16" s="2"/>
      <c r="Z16" s="2"/>
      <c r="AA16" s="2"/>
      <c r="AB16" s="2"/>
    </row>
    <row r="17" spans="2:28" x14ac:dyDescent="0.25">
      <c r="B17" t="s">
        <v>25</v>
      </c>
      <c r="C17" s="7">
        <v>2.5000000000000001E-3</v>
      </c>
      <c r="F17" s="2">
        <f t="shared" ref="F17:F80" si="11">F5+1</f>
        <v>2</v>
      </c>
      <c r="G17" s="2">
        <f t="shared" ref="G17:G80" si="12">G5</f>
        <v>3</v>
      </c>
      <c r="H17" s="10">
        <f t="shared" si="0"/>
        <v>-887.35615656627056</v>
      </c>
      <c r="I17" s="11">
        <f t="shared" si="9"/>
        <v>-382.66255971596553</v>
      </c>
      <c r="J17" s="10">
        <f t="shared" si="8"/>
        <v>-504.69359685030503</v>
      </c>
      <c r="K17" s="10">
        <f t="shared" si="1"/>
        <v>152560.33028953592</v>
      </c>
      <c r="L17" s="11">
        <f t="shared" si="2"/>
        <v>-445.45833333333331</v>
      </c>
      <c r="M17" s="11"/>
      <c r="N17" s="11"/>
      <c r="O17" s="11">
        <f t="shared" si="3"/>
        <v>867</v>
      </c>
      <c r="P17" s="12">
        <f t="shared" si="4"/>
        <v>-465.81448989960381</v>
      </c>
      <c r="Q17" s="10">
        <f t="shared" si="10"/>
        <v>-107105.71734849416</v>
      </c>
      <c r="R17" s="13">
        <f t="shared" si="5"/>
        <v>252149.99999999997</v>
      </c>
      <c r="S17" s="10">
        <f t="shared" si="6"/>
        <v>152560.33028953592</v>
      </c>
      <c r="T17" s="10">
        <f t="shared" si="7"/>
        <v>-7516.0476380301116</v>
      </c>
      <c r="V17" s="2"/>
      <c r="W17" s="2"/>
      <c r="X17" s="4"/>
      <c r="Y17" s="2"/>
      <c r="Z17" s="2"/>
      <c r="AA17" s="2"/>
      <c r="AB17" s="2"/>
    </row>
    <row r="18" spans="2:28" x14ac:dyDescent="0.25">
      <c r="B18" t="s">
        <v>26</v>
      </c>
      <c r="C18">
        <v>1200</v>
      </c>
      <c r="F18" s="2">
        <f t="shared" si="11"/>
        <v>2</v>
      </c>
      <c r="G18" s="2">
        <f t="shared" si="12"/>
        <v>4</v>
      </c>
      <c r="H18" s="10">
        <f t="shared" si="0"/>
        <v>-887.35615656627056</v>
      </c>
      <c r="I18" s="11">
        <f t="shared" si="9"/>
        <v>-381.40082572383983</v>
      </c>
      <c r="J18" s="10">
        <f t="shared" si="8"/>
        <v>-505.95533084243073</v>
      </c>
      <c r="K18" s="10">
        <f t="shared" si="1"/>
        <v>152054.37495869349</v>
      </c>
      <c r="L18" s="11">
        <f t="shared" si="2"/>
        <v>-445.45833333333331</v>
      </c>
      <c r="M18" s="11"/>
      <c r="N18" s="11"/>
      <c r="O18" s="11">
        <f t="shared" si="3"/>
        <v>867</v>
      </c>
      <c r="P18" s="12">
        <f t="shared" si="4"/>
        <v>-465.81448989960381</v>
      </c>
      <c r="Q18" s="10">
        <f t="shared" si="10"/>
        <v>-107571.53183839377</v>
      </c>
      <c r="R18" s="13">
        <f t="shared" si="5"/>
        <v>252149.99999999997</v>
      </c>
      <c r="S18" s="10">
        <f t="shared" si="6"/>
        <v>152054.37495869349</v>
      </c>
      <c r="T18" s="10">
        <f t="shared" si="7"/>
        <v>-7475.9067970872857</v>
      </c>
      <c r="V18" s="2"/>
      <c r="W18" s="2"/>
      <c r="X18" s="4"/>
      <c r="Y18" s="2"/>
      <c r="Z18" s="2"/>
      <c r="AA18" s="2"/>
      <c r="AB18" s="2"/>
    </row>
    <row r="19" spans="2:28" x14ac:dyDescent="0.25">
      <c r="B19" t="s">
        <v>27</v>
      </c>
      <c r="C19" s="1">
        <v>0.02</v>
      </c>
      <c r="F19" s="2">
        <f t="shared" si="11"/>
        <v>2</v>
      </c>
      <c r="G19" s="2">
        <f t="shared" si="12"/>
        <v>5</v>
      </c>
      <c r="H19" s="10">
        <f t="shared" si="0"/>
        <v>-887.35615656627056</v>
      </c>
      <c r="I19" s="11">
        <f t="shared" si="9"/>
        <v>-380.13593739673371</v>
      </c>
      <c r="J19" s="10">
        <f t="shared" si="8"/>
        <v>-507.22021916953685</v>
      </c>
      <c r="K19" s="10">
        <f t="shared" si="1"/>
        <v>151547.15473952395</v>
      </c>
      <c r="L19" s="11">
        <f t="shared" si="2"/>
        <v>-445.45833333333331</v>
      </c>
      <c r="M19" s="11"/>
      <c r="N19" s="11"/>
      <c r="O19" s="11">
        <f t="shared" si="3"/>
        <v>867</v>
      </c>
      <c r="P19" s="12">
        <f t="shared" si="4"/>
        <v>-465.81448989960381</v>
      </c>
      <c r="Q19" s="10">
        <f t="shared" si="10"/>
        <v>-108037.34632829338</v>
      </c>
      <c r="R19" s="13">
        <f t="shared" si="5"/>
        <v>252149.99999999997</v>
      </c>
      <c r="S19" s="10">
        <f t="shared" si="6"/>
        <v>151547.15473952395</v>
      </c>
      <c r="T19" s="10">
        <f>R19-S19+Q19</f>
        <v>-7434.5010678173567</v>
      </c>
      <c r="V19" s="2"/>
      <c r="W19" s="2"/>
      <c r="X19" s="4"/>
      <c r="Y19" s="2"/>
      <c r="Z19" s="2"/>
      <c r="AA19" s="2"/>
      <c r="AB19" s="2"/>
    </row>
    <row r="20" spans="2:28" x14ac:dyDescent="0.25">
      <c r="B20" t="s">
        <v>28</v>
      </c>
      <c r="C20" s="1">
        <v>0.01</v>
      </c>
      <c r="F20" s="2">
        <f t="shared" si="11"/>
        <v>2</v>
      </c>
      <c r="G20" s="2">
        <f t="shared" si="12"/>
        <v>6</v>
      </c>
      <c r="H20" s="10">
        <f t="shared" si="0"/>
        <v>-887.35615656627056</v>
      </c>
      <c r="I20" s="11">
        <f t="shared" si="9"/>
        <v>-378.86788684880986</v>
      </c>
      <c r="J20" s="10">
        <f t="shared" si="8"/>
        <v>-508.4882697174607</v>
      </c>
      <c r="K20" s="10">
        <f t="shared" si="1"/>
        <v>151038.66646980649</v>
      </c>
      <c r="L20" s="11">
        <f t="shared" si="2"/>
        <v>-445.45833333333331</v>
      </c>
      <c r="M20" s="11"/>
      <c r="N20" s="11"/>
      <c r="O20" s="11">
        <f t="shared" si="3"/>
        <v>867</v>
      </c>
      <c r="P20" s="12">
        <f t="shared" si="4"/>
        <v>-465.81448989960381</v>
      </c>
      <c r="Q20" s="10">
        <f t="shared" si="10"/>
        <v>-108503.16081819299</v>
      </c>
      <c r="R20" s="13">
        <f t="shared" si="5"/>
        <v>252149.99999999997</v>
      </c>
      <c r="S20" s="10">
        <f t="shared" si="6"/>
        <v>151038.66646980649</v>
      </c>
      <c r="T20" s="10">
        <f t="shared" ref="T20:T62" si="13">R20-S20+Q20</f>
        <v>-7391.8272879995056</v>
      </c>
    </row>
    <row r="21" spans="2:28" x14ac:dyDescent="0.25">
      <c r="B21" t="s">
        <v>29</v>
      </c>
      <c r="C21" s="22">
        <v>2.5000000000000001E-2</v>
      </c>
      <c r="D21" s="9">
        <f>(1+C21)^(1/12)-1</f>
        <v>2.0598362698427408E-3</v>
      </c>
      <c r="F21" s="2">
        <f t="shared" si="11"/>
        <v>2</v>
      </c>
      <c r="G21" s="2">
        <f t="shared" si="12"/>
        <v>7</v>
      </c>
      <c r="H21" s="10">
        <f t="shared" si="0"/>
        <v>-887.35615656627056</v>
      </c>
      <c r="I21" s="11">
        <f t="shared" si="9"/>
        <v>-377.5966661745162</v>
      </c>
      <c r="J21" s="10">
        <f t="shared" si="8"/>
        <v>-509.75949039175435</v>
      </c>
      <c r="K21" s="10">
        <f t="shared" si="1"/>
        <v>150528.90697941472</v>
      </c>
      <c r="L21" s="11">
        <f t="shared" si="2"/>
        <v>-445.45833333333331</v>
      </c>
      <c r="M21" s="11"/>
      <c r="N21" s="11"/>
      <c r="O21" s="11">
        <f t="shared" si="3"/>
        <v>867</v>
      </c>
      <c r="P21" s="12">
        <f t="shared" si="4"/>
        <v>-465.81448989960381</v>
      </c>
      <c r="Q21" s="10">
        <f t="shared" si="10"/>
        <v>-108968.9753080926</v>
      </c>
      <c r="R21" s="13">
        <f t="shared" si="5"/>
        <v>252149.99999999997</v>
      </c>
      <c r="S21" s="10">
        <f t="shared" si="6"/>
        <v>150528.90697941472</v>
      </c>
      <c r="T21" s="10">
        <f t="shared" si="13"/>
        <v>-7347.8822875073529</v>
      </c>
    </row>
    <row r="22" spans="2:28" x14ac:dyDescent="0.25">
      <c r="B22" t="s">
        <v>30</v>
      </c>
      <c r="C22" s="1">
        <v>0.05</v>
      </c>
      <c r="F22" s="2">
        <f t="shared" si="11"/>
        <v>2</v>
      </c>
      <c r="G22" s="2">
        <f t="shared" si="12"/>
        <v>8</v>
      </c>
      <c r="H22" s="10">
        <f t="shared" si="0"/>
        <v>-887.35615656627056</v>
      </c>
      <c r="I22" s="11">
        <f t="shared" si="9"/>
        <v>-376.32226744853682</v>
      </c>
      <c r="J22" s="10">
        <f t="shared" si="8"/>
        <v>-511.03388911773374</v>
      </c>
      <c r="K22" s="10">
        <f t="shared" si="1"/>
        <v>150017.87309029698</v>
      </c>
      <c r="L22" s="11">
        <f t="shared" si="2"/>
        <v>-445.45833333333331</v>
      </c>
      <c r="M22" s="11"/>
      <c r="N22" s="11"/>
      <c r="O22" s="11">
        <f t="shared" si="3"/>
        <v>867</v>
      </c>
      <c r="P22" s="12">
        <f t="shared" si="4"/>
        <v>-465.81448989960381</v>
      </c>
      <c r="Q22" s="10">
        <f t="shared" si="10"/>
        <v>-109434.78979799221</v>
      </c>
      <c r="R22" s="13">
        <f t="shared" si="5"/>
        <v>252149.99999999997</v>
      </c>
      <c r="S22" s="10">
        <f t="shared" si="6"/>
        <v>150017.87309029698</v>
      </c>
      <c r="T22" s="10">
        <f t="shared" si="13"/>
        <v>-7302.6628882892255</v>
      </c>
    </row>
    <row r="23" spans="2:28" x14ac:dyDescent="0.25">
      <c r="F23" s="2">
        <f t="shared" si="11"/>
        <v>2</v>
      </c>
      <c r="G23" s="2">
        <f t="shared" si="12"/>
        <v>9</v>
      </c>
      <c r="H23" s="10">
        <f t="shared" si="0"/>
        <v>-887.35615656627056</v>
      </c>
      <c r="I23" s="11">
        <f t="shared" si="9"/>
        <v>-375.04468272574246</v>
      </c>
      <c r="J23" s="10">
        <f t="shared" si="8"/>
        <v>-512.31147384052815</v>
      </c>
      <c r="K23" s="10">
        <f t="shared" si="1"/>
        <v>149505.56161645646</v>
      </c>
      <c r="L23" s="11">
        <f t="shared" si="2"/>
        <v>-445.45833333333331</v>
      </c>
      <c r="M23" s="11"/>
      <c r="N23" s="11"/>
      <c r="O23" s="11">
        <f t="shared" si="3"/>
        <v>867</v>
      </c>
      <c r="P23" s="12">
        <f t="shared" si="4"/>
        <v>-465.81448989960381</v>
      </c>
      <c r="Q23" s="10">
        <f t="shared" si="10"/>
        <v>-109900.60428789182</v>
      </c>
      <c r="R23" s="13">
        <f t="shared" si="5"/>
        <v>252149.99999999997</v>
      </c>
      <c r="S23" s="10">
        <f t="shared" si="6"/>
        <v>149505.56161645646</v>
      </c>
      <c r="T23" s="10">
        <f t="shared" si="13"/>
        <v>-7256.1659043483087</v>
      </c>
      <c r="V23" s="2"/>
      <c r="W23" s="2"/>
      <c r="X23" s="4"/>
      <c r="Y23" s="2"/>
      <c r="Z23" s="2"/>
      <c r="AA23" s="2"/>
      <c r="AB23" s="2"/>
    </row>
    <row r="24" spans="2:28" x14ac:dyDescent="0.25">
      <c r="F24" s="2">
        <f t="shared" si="11"/>
        <v>2</v>
      </c>
      <c r="G24" s="2">
        <f t="shared" si="12"/>
        <v>10</v>
      </c>
      <c r="H24" s="10">
        <f t="shared" si="0"/>
        <v>-887.35615656627056</v>
      </c>
      <c r="I24" s="11">
        <f t="shared" si="9"/>
        <v>-373.76390404114113</v>
      </c>
      <c r="J24" s="10">
        <f t="shared" si="8"/>
        <v>-513.59225252512942</v>
      </c>
      <c r="K24" s="10">
        <f t="shared" si="1"/>
        <v>148991.96936393133</v>
      </c>
      <c r="L24" s="11">
        <f t="shared" si="2"/>
        <v>-445.45833333333331</v>
      </c>
      <c r="M24" s="11"/>
      <c r="N24" s="11"/>
      <c r="O24" s="11">
        <f t="shared" si="3"/>
        <v>867</v>
      </c>
      <c r="P24" s="12">
        <f t="shared" si="4"/>
        <v>-465.81448989960381</v>
      </c>
      <c r="Q24" s="10">
        <f t="shared" si="10"/>
        <v>-110366.41877779143</v>
      </c>
      <c r="R24" s="13">
        <f t="shared" si="5"/>
        <v>252149.99999999997</v>
      </c>
      <c r="S24" s="10">
        <f t="shared" si="6"/>
        <v>148991.96936393133</v>
      </c>
      <c r="T24" s="10">
        <f t="shared" si="13"/>
        <v>-7208.3881417227967</v>
      </c>
      <c r="V24" s="2"/>
      <c r="W24" s="2"/>
      <c r="X24" s="12"/>
      <c r="Y24" s="10"/>
      <c r="Z24" s="2"/>
      <c r="AA24" s="2"/>
      <c r="AB24" s="10"/>
    </row>
    <row r="25" spans="2:28" x14ac:dyDescent="0.25">
      <c r="B25" t="s">
        <v>35</v>
      </c>
      <c r="C25">
        <v>5</v>
      </c>
      <c r="F25" s="2">
        <f t="shared" si="11"/>
        <v>2</v>
      </c>
      <c r="G25" s="2">
        <f t="shared" si="12"/>
        <v>11</v>
      </c>
      <c r="H25" s="10">
        <f t="shared" si="0"/>
        <v>-887.35615656627056</v>
      </c>
      <c r="I25" s="11">
        <f t="shared" si="9"/>
        <v>-372.47992340982836</v>
      </c>
      <c r="J25" s="10">
        <f t="shared" si="8"/>
        <v>-514.87623315644214</v>
      </c>
      <c r="K25" s="10">
        <f t="shared" si="1"/>
        <v>148477.09313077488</v>
      </c>
      <c r="L25" s="11">
        <f t="shared" si="2"/>
        <v>-445.45833333333331</v>
      </c>
      <c r="M25" s="11"/>
      <c r="N25" s="11"/>
      <c r="O25" s="11">
        <f t="shared" si="3"/>
        <v>867</v>
      </c>
      <c r="P25" s="12">
        <f t="shared" si="4"/>
        <v>-465.81448989960381</v>
      </c>
      <c r="Q25" s="10">
        <f t="shared" si="10"/>
        <v>-110832.23326769104</v>
      </c>
      <c r="R25" s="13">
        <f t="shared" si="5"/>
        <v>252149.99999999997</v>
      </c>
      <c r="S25" s="10">
        <f t="shared" si="6"/>
        <v>148477.09313077488</v>
      </c>
      <c r="T25" s="10">
        <f t="shared" si="13"/>
        <v>-7159.326398465957</v>
      </c>
      <c r="X25" s="4"/>
      <c r="Y25" s="2"/>
    </row>
    <row r="26" spans="2:28" x14ac:dyDescent="0.25">
      <c r="B26" t="s">
        <v>36</v>
      </c>
      <c r="C26">
        <v>10</v>
      </c>
      <c r="F26" s="2">
        <f t="shared" si="11"/>
        <v>2</v>
      </c>
      <c r="G26" s="2">
        <f t="shared" si="12"/>
        <v>12</v>
      </c>
      <c r="H26" s="10">
        <f t="shared" si="0"/>
        <v>-887.35615656627056</v>
      </c>
      <c r="I26" s="11">
        <f t="shared" si="9"/>
        <v>-371.19273282693723</v>
      </c>
      <c r="J26" s="10">
        <f t="shared" si="8"/>
        <v>-516.16342373933333</v>
      </c>
      <c r="K26" s="10">
        <f t="shared" si="1"/>
        <v>147960.92970703554</v>
      </c>
      <c r="L26" s="11">
        <f t="shared" si="2"/>
        <v>-445.45833333333331</v>
      </c>
      <c r="M26" s="11"/>
      <c r="N26" s="11"/>
      <c r="O26" s="11">
        <f t="shared" si="3"/>
        <v>867</v>
      </c>
      <c r="P26" s="12">
        <f t="shared" si="4"/>
        <v>-465.81448989960381</v>
      </c>
      <c r="Q26" s="10">
        <f t="shared" si="10"/>
        <v>-111298.04775759066</v>
      </c>
      <c r="R26" s="13">
        <f t="shared" si="5"/>
        <v>252149.99999999997</v>
      </c>
      <c r="S26" s="10">
        <f t="shared" si="6"/>
        <v>147960.92970703554</v>
      </c>
      <c r="T26" s="10">
        <f t="shared" si="13"/>
        <v>-7108.9774646262231</v>
      </c>
    </row>
    <row r="27" spans="2:28" x14ac:dyDescent="0.25">
      <c r="F27" s="2">
        <f t="shared" si="11"/>
        <v>3</v>
      </c>
      <c r="G27" s="2">
        <f t="shared" si="12"/>
        <v>1</v>
      </c>
      <c r="H27" s="10">
        <f t="shared" si="0"/>
        <v>-887.35615656627056</v>
      </c>
      <c r="I27" s="11">
        <f t="shared" si="9"/>
        <v>-369.90232426758888</v>
      </c>
      <c r="J27" s="10">
        <f t="shared" si="8"/>
        <v>-517.45383229868162</v>
      </c>
      <c r="K27" s="10">
        <f t="shared" si="1"/>
        <v>147443.47587473685</v>
      </c>
      <c r="L27" s="11">
        <f t="shared" si="2"/>
        <v>-452.75145833333329</v>
      </c>
      <c r="M27" s="11"/>
      <c r="N27" s="11"/>
      <c r="O27" s="11">
        <f t="shared" si="3"/>
        <v>884.34</v>
      </c>
      <c r="P27" s="12">
        <f t="shared" si="4"/>
        <v>-455.76761489960393</v>
      </c>
      <c r="Q27" s="10">
        <f t="shared" si="10"/>
        <v>-111753.81537249027</v>
      </c>
      <c r="R27" s="13">
        <f t="shared" si="5"/>
        <v>258453.74999999997</v>
      </c>
      <c r="S27" s="10">
        <f t="shared" si="6"/>
        <v>147443.47587473685</v>
      </c>
      <c r="T27" s="10">
        <f t="shared" si="13"/>
        <v>-743.54124722714187</v>
      </c>
    </row>
    <row r="28" spans="2:28" x14ac:dyDescent="0.25">
      <c r="F28" s="2">
        <f t="shared" si="11"/>
        <v>3</v>
      </c>
      <c r="G28" s="2">
        <f t="shared" si="12"/>
        <v>2</v>
      </c>
      <c r="H28" s="10">
        <f t="shared" si="0"/>
        <v>-887.35615656627056</v>
      </c>
      <c r="I28" s="11">
        <f t="shared" si="9"/>
        <v>-368.60868968684213</v>
      </c>
      <c r="J28" s="10">
        <f t="shared" si="8"/>
        <v>-518.74746687942843</v>
      </c>
      <c r="K28" s="10">
        <f t="shared" si="1"/>
        <v>146924.72840785742</v>
      </c>
      <c r="L28" s="11">
        <f t="shared" si="2"/>
        <v>-452.75145833333329</v>
      </c>
      <c r="M28" s="11"/>
      <c r="N28" s="11"/>
      <c r="O28" s="11">
        <f t="shared" si="3"/>
        <v>884.34</v>
      </c>
      <c r="P28" s="12">
        <f t="shared" si="4"/>
        <v>-455.76761489960393</v>
      </c>
      <c r="Q28" s="10">
        <f t="shared" si="10"/>
        <v>-112209.58298738988</v>
      </c>
      <c r="R28" s="13">
        <f t="shared" si="5"/>
        <v>258453.74999999997</v>
      </c>
      <c r="S28" s="10">
        <f t="shared" si="6"/>
        <v>146924.72840785742</v>
      </c>
      <c r="T28" s="10">
        <f t="shared" si="13"/>
        <v>-680.56139524732134</v>
      </c>
    </row>
    <row r="29" spans="2:28" x14ac:dyDescent="0.25">
      <c r="B29" t="s">
        <v>37</v>
      </c>
      <c r="C29" s="3">
        <f>-6*$D$12*K62</f>
        <v>-1927.4103990276651</v>
      </c>
      <c r="F29" s="2">
        <f t="shared" si="11"/>
        <v>3</v>
      </c>
      <c r="G29" s="2">
        <f t="shared" si="12"/>
        <v>3</v>
      </c>
      <c r="H29" s="10">
        <f t="shared" si="0"/>
        <v>-887.35615656627056</v>
      </c>
      <c r="I29" s="11">
        <f t="shared" si="9"/>
        <v>-367.31182101964356</v>
      </c>
      <c r="J29" s="10">
        <f t="shared" si="8"/>
        <v>-520.04433554662705</v>
      </c>
      <c r="K29" s="10">
        <f t="shared" si="1"/>
        <v>146404.68407231077</v>
      </c>
      <c r="L29" s="11">
        <f t="shared" si="2"/>
        <v>-452.75145833333329</v>
      </c>
      <c r="M29" s="11"/>
      <c r="N29" s="11"/>
      <c r="O29" s="11">
        <f t="shared" si="3"/>
        <v>884.34</v>
      </c>
      <c r="P29" s="12">
        <f t="shared" si="4"/>
        <v>-455.76761489960393</v>
      </c>
      <c r="Q29" s="10">
        <f t="shared" si="10"/>
        <v>-112665.35060228949</v>
      </c>
      <c r="R29" s="13">
        <f t="shared" si="5"/>
        <v>258453.74999999997</v>
      </c>
      <c r="S29" s="10">
        <f t="shared" si="6"/>
        <v>146404.68407231077</v>
      </c>
      <c r="T29" s="10">
        <f t="shared" si="13"/>
        <v>-616.2846746002906</v>
      </c>
    </row>
    <row r="30" spans="2:28" x14ac:dyDescent="0.25">
      <c r="B30" t="s">
        <v>34</v>
      </c>
      <c r="C30" s="24">
        <f>R62-$C$22*R62-K62+C29</f>
        <v>127539.6355381904</v>
      </c>
      <c r="F30" s="2">
        <f t="shared" si="11"/>
        <v>3</v>
      </c>
      <c r="G30" s="2">
        <f t="shared" si="12"/>
        <v>4</v>
      </c>
      <c r="H30" s="10">
        <f t="shared" si="0"/>
        <v>-887.35615656627056</v>
      </c>
      <c r="I30" s="11">
        <f t="shared" si="9"/>
        <v>-366.01171018077696</v>
      </c>
      <c r="J30" s="10">
        <f t="shared" si="8"/>
        <v>-521.3444463854936</v>
      </c>
      <c r="K30" s="10">
        <f t="shared" si="1"/>
        <v>145883.33962592529</v>
      </c>
      <c r="L30" s="11">
        <f t="shared" si="2"/>
        <v>-452.75145833333329</v>
      </c>
      <c r="M30" s="11"/>
      <c r="N30" s="11"/>
      <c r="O30" s="11">
        <f t="shared" si="3"/>
        <v>884.34</v>
      </c>
      <c r="P30" s="12">
        <f t="shared" si="4"/>
        <v>-455.76761489960393</v>
      </c>
      <c r="Q30" s="10">
        <f t="shared" si="10"/>
        <v>-113121.1182171891</v>
      </c>
      <c r="R30" s="13">
        <f t="shared" si="5"/>
        <v>258453.74999999997</v>
      </c>
      <c r="S30" s="10">
        <f t="shared" si="6"/>
        <v>145883.33962592529</v>
      </c>
      <c r="T30" s="10">
        <f t="shared" si="13"/>
        <v>-550.70784311441821</v>
      </c>
    </row>
    <row r="31" spans="2:28" x14ac:dyDescent="0.25">
      <c r="F31" s="2">
        <f t="shared" si="11"/>
        <v>3</v>
      </c>
      <c r="G31" s="2">
        <f t="shared" si="12"/>
        <v>5</v>
      </c>
      <c r="H31" s="10">
        <f t="shared" si="0"/>
        <v>-887.35615656627056</v>
      </c>
      <c r="I31" s="11">
        <f t="shared" si="9"/>
        <v>-364.70834906481326</v>
      </c>
      <c r="J31" s="10">
        <f t="shared" si="8"/>
        <v>-522.64780750145724</v>
      </c>
      <c r="K31" s="10">
        <f t="shared" si="1"/>
        <v>145360.69181842383</v>
      </c>
      <c r="L31" s="11">
        <f t="shared" si="2"/>
        <v>-452.75145833333329</v>
      </c>
      <c r="M31" s="11"/>
      <c r="N31" s="11"/>
      <c r="O31" s="11">
        <f t="shared" si="3"/>
        <v>884.34</v>
      </c>
      <c r="P31" s="12">
        <f t="shared" si="4"/>
        <v>-455.76761489960393</v>
      </c>
      <c r="Q31" s="10">
        <f t="shared" si="10"/>
        <v>-113576.88583208871</v>
      </c>
      <c r="R31" s="13">
        <f t="shared" si="5"/>
        <v>258453.74999999997</v>
      </c>
      <c r="S31" s="10">
        <f t="shared" si="6"/>
        <v>145360.69181842383</v>
      </c>
      <c r="T31" s="10">
        <f t="shared" si="13"/>
        <v>-483.82765051256865</v>
      </c>
    </row>
    <row r="32" spans="2:28" x14ac:dyDescent="0.25">
      <c r="B32" t="s">
        <v>38</v>
      </c>
      <c r="C32" s="1">
        <v>0.05</v>
      </c>
      <c r="D32" s="19">
        <f>(1+C32)^(1/12)-1</f>
        <v>4.0741237836483535E-3</v>
      </c>
      <c r="F32" s="2">
        <f t="shared" si="11"/>
        <v>3</v>
      </c>
      <c r="G32" s="2">
        <f t="shared" si="12"/>
        <v>6</v>
      </c>
      <c r="H32" s="10">
        <f t="shared" si="0"/>
        <v>-887.35615656627056</v>
      </c>
      <c r="I32" s="11">
        <f t="shared" si="9"/>
        <v>-363.40172954605958</v>
      </c>
      <c r="J32" s="10">
        <f t="shared" si="8"/>
        <v>-523.95442702021091</v>
      </c>
      <c r="K32" s="10">
        <f t="shared" si="1"/>
        <v>144836.73739140361</v>
      </c>
      <c r="L32" s="11">
        <f t="shared" si="2"/>
        <v>-452.75145833333329</v>
      </c>
      <c r="M32" s="11"/>
      <c r="N32" s="11"/>
      <c r="O32" s="11">
        <f t="shared" si="3"/>
        <v>884.34</v>
      </c>
      <c r="P32" s="12">
        <f t="shared" si="4"/>
        <v>-455.76761489960393</v>
      </c>
      <c r="Q32" s="10">
        <f t="shared" si="10"/>
        <v>-114032.65344698832</v>
      </c>
      <c r="R32" s="13">
        <f t="shared" si="5"/>
        <v>258453.74999999997</v>
      </c>
      <c r="S32" s="10">
        <f t="shared" si="6"/>
        <v>144836.73739140361</v>
      </c>
      <c r="T32" s="10">
        <f t="shared" si="13"/>
        <v>-415.64083839196246</v>
      </c>
    </row>
    <row r="33" spans="2:20" x14ac:dyDescent="0.25">
      <c r="B33" t="s">
        <v>47</v>
      </c>
      <c r="C33" s="1">
        <v>0.25</v>
      </c>
      <c r="F33" s="2">
        <f t="shared" si="11"/>
        <v>3</v>
      </c>
      <c r="G33" s="2">
        <f t="shared" si="12"/>
        <v>7</v>
      </c>
      <c r="H33" s="10">
        <f t="shared" si="0"/>
        <v>-887.35615656627056</v>
      </c>
      <c r="I33" s="11">
        <f t="shared" si="9"/>
        <v>-362.09184347850902</v>
      </c>
      <c r="J33" s="10">
        <f t="shared" si="8"/>
        <v>-525.26431308776159</v>
      </c>
      <c r="K33" s="10">
        <f t="shared" si="1"/>
        <v>144311.47307831584</v>
      </c>
      <c r="L33" s="11">
        <f t="shared" si="2"/>
        <v>-452.75145833333329</v>
      </c>
      <c r="M33" s="11"/>
      <c r="N33" s="11"/>
      <c r="O33" s="11">
        <f t="shared" si="3"/>
        <v>884.34</v>
      </c>
      <c r="P33" s="12">
        <f t="shared" si="4"/>
        <v>-455.76761489960393</v>
      </c>
      <c r="Q33" s="10">
        <f t="shared" si="10"/>
        <v>-114488.42106188793</v>
      </c>
      <c r="R33" s="13">
        <f t="shared" si="5"/>
        <v>258453.74999999997</v>
      </c>
      <c r="S33" s="10">
        <f t="shared" si="6"/>
        <v>144311.47307831584</v>
      </c>
      <c r="T33" s="10">
        <f t="shared" si="13"/>
        <v>-346.14414020380354</v>
      </c>
    </row>
    <row r="34" spans="2:20" x14ac:dyDescent="0.25">
      <c r="B34" t="s">
        <v>45</v>
      </c>
      <c r="C34">
        <v>850</v>
      </c>
      <c r="F34" s="2">
        <f t="shared" si="11"/>
        <v>3</v>
      </c>
      <c r="G34" s="2">
        <f t="shared" si="12"/>
        <v>8</v>
      </c>
      <c r="H34" s="10">
        <f t="shared" si="0"/>
        <v>-887.35615656627056</v>
      </c>
      <c r="I34" s="11">
        <f t="shared" si="9"/>
        <v>-360.7786826957896</v>
      </c>
      <c r="J34" s="10">
        <f t="shared" si="8"/>
        <v>-526.57747387048096</v>
      </c>
      <c r="K34" s="10">
        <f t="shared" si="1"/>
        <v>143784.89560444537</v>
      </c>
      <c r="L34" s="11">
        <f t="shared" si="2"/>
        <v>-452.75145833333329</v>
      </c>
      <c r="M34" s="11"/>
      <c r="N34" s="11"/>
      <c r="O34" s="11">
        <f t="shared" si="3"/>
        <v>884.34</v>
      </c>
      <c r="P34" s="12">
        <f t="shared" si="4"/>
        <v>-455.76761489960393</v>
      </c>
      <c r="Q34" s="10">
        <f t="shared" si="10"/>
        <v>-114944.18867678754</v>
      </c>
      <c r="R34" s="13">
        <f t="shared" si="5"/>
        <v>258453.74999999997</v>
      </c>
      <c r="S34" s="10">
        <f t="shared" si="6"/>
        <v>143784.89560444537</v>
      </c>
      <c r="T34" s="10">
        <f t="shared" si="13"/>
        <v>-275.33428123293561</v>
      </c>
    </row>
    <row r="35" spans="2:20" x14ac:dyDescent="0.25">
      <c r="B35" t="s">
        <v>46</v>
      </c>
      <c r="C35" s="1">
        <v>0.02</v>
      </c>
      <c r="F35" s="2">
        <f t="shared" si="11"/>
        <v>3</v>
      </c>
      <c r="G35" s="2">
        <f t="shared" si="12"/>
        <v>9</v>
      </c>
      <c r="H35" s="10">
        <f t="shared" si="0"/>
        <v>-887.35615656627056</v>
      </c>
      <c r="I35" s="11">
        <f t="shared" si="9"/>
        <v>-359.46223901111341</v>
      </c>
      <c r="J35" s="10">
        <f t="shared" si="8"/>
        <v>-527.89391755515715</v>
      </c>
      <c r="K35" s="10">
        <f t="shared" si="1"/>
        <v>143257.0016868902</v>
      </c>
      <c r="L35" s="11">
        <f t="shared" si="2"/>
        <v>-452.75145833333329</v>
      </c>
      <c r="M35" s="11"/>
      <c r="N35" s="11"/>
      <c r="O35" s="11">
        <f t="shared" si="3"/>
        <v>884.34</v>
      </c>
      <c r="P35" s="12">
        <f t="shared" si="4"/>
        <v>-455.76761489960393</v>
      </c>
      <c r="Q35" s="10">
        <f t="shared" si="10"/>
        <v>-115399.95629168715</v>
      </c>
      <c r="R35" s="13">
        <f t="shared" si="5"/>
        <v>258453.74999999997</v>
      </c>
      <c r="S35" s="10">
        <f t="shared" si="6"/>
        <v>143257.0016868902</v>
      </c>
      <c r="T35" s="10">
        <f t="shared" si="13"/>
        <v>-203.20797857738216</v>
      </c>
    </row>
    <row r="36" spans="2:20" x14ac:dyDescent="0.25">
      <c r="C36" s="3"/>
      <c r="F36" s="2">
        <f t="shared" si="11"/>
        <v>3</v>
      </c>
      <c r="G36" s="2">
        <f t="shared" si="12"/>
        <v>10</v>
      </c>
      <c r="H36" s="10">
        <f t="shared" si="0"/>
        <v>-887.35615656627056</v>
      </c>
      <c r="I36" s="11">
        <f t="shared" si="9"/>
        <v>-358.14250421722551</v>
      </c>
      <c r="J36" s="10">
        <f t="shared" si="8"/>
        <v>-529.21365234904511</v>
      </c>
      <c r="K36" s="10">
        <f t="shared" si="1"/>
        <v>142727.78803454115</v>
      </c>
      <c r="L36" s="11">
        <f t="shared" si="2"/>
        <v>-452.75145833333329</v>
      </c>
      <c r="M36" s="11"/>
      <c r="N36" s="11"/>
      <c r="O36" s="11">
        <f t="shared" si="3"/>
        <v>884.34</v>
      </c>
      <c r="P36" s="12">
        <f t="shared" si="4"/>
        <v>-455.76761489960393</v>
      </c>
      <c r="Q36" s="10">
        <f t="shared" si="10"/>
        <v>-115855.72390658676</v>
      </c>
      <c r="R36" s="13">
        <f t="shared" si="5"/>
        <v>258453.74999999997</v>
      </c>
      <c r="S36" s="10">
        <f t="shared" si="6"/>
        <v>142727.78803454115</v>
      </c>
      <c r="T36" s="10">
        <f t="shared" si="13"/>
        <v>-129.76194112794474</v>
      </c>
    </row>
    <row r="37" spans="2:20" x14ac:dyDescent="0.25">
      <c r="C37" s="3"/>
      <c r="F37" s="2">
        <f t="shared" si="11"/>
        <v>3</v>
      </c>
      <c r="G37" s="2">
        <f t="shared" si="12"/>
        <v>11</v>
      </c>
      <c r="H37" s="10">
        <f t="shared" si="0"/>
        <v>-887.35615656627056</v>
      </c>
      <c r="I37" s="11">
        <f t="shared" si="9"/>
        <v>-356.81947008635291</v>
      </c>
      <c r="J37" s="10">
        <f t="shared" si="8"/>
        <v>-530.53668647991765</v>
      </c>
      <c r="K37" s="10">
        <f t="shared" si="1"/>
        <v>142197.25134806123</v>
      </c>
      <c r="L37" s="11">
        <f t="shared" si="2"/>
        <v>-452.75145833333329</v>
      </c>
      <c r="M37" s="11"/>
      <c r="N37" s="11"/>
      <c r="O37" s="11">
        <f t="shared" si="3"/>
        <v>884.34</v>
      </c>
      <c r="P37" s="12">
        <f t="shared" si="4"/>
        <v>-455.76761489960393</v>
      </c>
      <c r="Q37" s="10">
        <f t="shared" si="10"/>
        <v>-116311.49152148637</v>
      </c>
      <c r="R37" s="13">
        <f t="shared" si="5"/>
        <v>258453.74999999997</v>
      </c>
      <c r="S37" s="10">
        <f t="shared" si="6"/>
        <v>142197.25134806123</v>
      </c>
      <c r="T37" s="10">
        <f t="shared" si="13"/>
        <v>-54.992869547626469</v>
      </c>
    </row>
    <row r="38" spans="2:20" x14ac:dyDescent="0.25">
      <c r="C38" s="3"/>
      <c r="F38" s="2">
        <f t="shared" si="11"/>
        <v>3</v>
      </c>
      <c r="G38" s="2">
        <f t="shared" si="12"/>
        <v>12</v>
      </c>
      <c r="H38" s="10">
        <f t="shared" si="0"/>
        <v>-887.35615656627056</v>
      </c>
      <c r="I38" s="11">
        <f t="shared" si="9"/>
        <v>-355.49312837015304</v>
      </c>
      <c r="J38" s="10">
        <f t="shared" si="8"/>
        <v>-531.86302819611751</v>
      </c>
      <c r="K38" s="10">
        <f t="shared" si="1"/>
        <v>141665.3883198651</v>
      </c>
      <c r="L38" s="11">
        <f t="shared" si="2"/>
        <v>-452.75145833333329</v>
      </c>
      <c r="M38" s="11"/>
      <c r="N38" s="11"/>
      <c r="O38" s="11">
        <f t="shared" si="3"/>
        <v>884.34</v>
      </c>
      <c r="P38" s="12">
        <f t="shared" si="4"/>
        <v>-455.76761489960393</v>
      </c>
      <c r="Q38" s="10">
        <f t="shared" si="10"/>
        <v>-116767.25913638598</v>
      </c>
      <c r="R38" s="13">
        <f t="shared" si="5"/>
        <v>258453.74999999997</v>
      </c>
      <c r="S38" s="10">
        <f t="shared" si="6"/>
        <v>141665.3883198651</v>
      </c>
      <c r="T38" s="10">
        <f t="shared" si="13"/>
        <v>21.102543748886092</v>
      </c>
    </row>
    <row r="39" spans="2:20" x14ac:dyDescent="0.25">
      <c r="C39" s="3"/>
      <c r="F39" s="2">
        <f t="shared" si="11"/>
        <v>4</v>
      </c>
      <c r="G39" s="2">
        <f t="shared" si="12"/>
        <v>1</v>
      </c>
      <c r="H39" s="10">
        <f t="shared" si="0"/>
        <v>-887.35615656627056</v>
      </c>
      <c r="I39" s="11">
        <f t="shared" si="9"/>
        <v>-354.16347079966278</v>
      </c>
      <c r="J39" s="10">
        <f t="shared" si="8"/>
        <v>-533.19268576660784</v>
      </c>
      <c r="K39" s="10">
        <f t="shared" si="1"/>
        <v>141132.19563409849</v>
      </c>
      <c r="L39" s="11">
        <f t="shared" si="2"/>
        <v>-460.21671145833329</v>
      </c>
      <c r="M39" s="11"/>
      <c r="N39" s="11"/>
      <c r="O39" s="11">
        <f t="shared" si="3"/>
        <v>902.02679999999998</v>
      </c>
      <c r="P39" s="12">
        <f t="shared" si="4"/>
        <v>-445.54606802460387</v>
      </c>
      <c r="Q39" s="10">
        <f t="shared" si="10"/>
        <v>-117212.80520441059</v>
      </c>
      <c r="R39" s="13">
        <f t="shared" si="5"/>
        <v>264915.09374999994</v>
      </c>
      <c r="S39" s="10">
        <f t="shared" si="6"/>
        <v>141132.19563409849</v>
      </c>
      <c r="T39" s="10">
        <f t="shared" si="13"/>
        <v>6570.0929114908649</v>
      </c>
    </row>
    <row r="40" spans="2:20" x14ac:dyDescent="0.25">
      <c r="C40" s="3"/>
      <c r="F40" s="2">
        <f t="shared" si="11"/>
        <v>4</v>
      </c>
      <c r="G40" s="2">
        <f t="shared" si="12"/>
        <v>2</v>
      </c>
      <c r="H40" s="10">
        <f t="shared" si="0"/>
        <v>-887.35615656627056</v>
      </c>
      <c r="I40" s="11">
        <f t="shared" si="9"/>
        <v>-352.83048908524626</v>
      </c>
      <c r="J40" s="10">
        <f t="shared" si="8"/>
        <v>-534.52566748102436</v>
      </c>
      <c r="K40" s="10">
        <f t="shared" si="1"/>
        <v>140597.66996661745</v>
      </c>
      <c r="L40" s="11">
        <f t="shared" si="2"/>
        <v>-460.21671145833329</v>
      </c>
      <c r="M40" s="11"/>
      <c r="N40" s="11"/>
      <c r="O40" s="11">
        <f t="shared" si="3"/>
        <v>902.02679999999998</v>
      </c>
      <c r="P40" s="12">
        <f t="shared" si="4"/>
        <v>-445.54606802460387</v>
      </c>
      <c r="Q40" s="10">
        <f t="shared" si="10"/>
        <v>-117658.35127243519</v>
      </c>
      <c r="R40" s="13">
        <f t="shared" si="5"/>
        <v>264915.09374999994</v>
      </c>
      <c r="S40" s="10">
        <f t="shared" si="6"/>
        <v>140597.66996661745</v>
      </c>
      <c r="T40" s="10">
        <f t="shared" si="13"/>
        <v>6659.0725109472987</v>
      </c>
    </row>
    <row r="41" spans="2:20" x14ac:dyDescent="0.25">
      <c r="C41" s="3"/>
      <c r="F41" s="2">
        <f t="shared" si="11"/>
        <v>4</v>
      </c>
      <c r="G41" s="2">
        <f t="shared" si="12"/>
        <v>3</v>
      </c>
      <c r="H41" s="10">
        <f t="shared" si="0"/>
        <v>-887.35615656627056</v>
      </c>
      <c r="I41" s="11">
        <f t="shared" si="9"/>
        <v>-351.49417491654361</v>
      </c>
      <c r="J41" s="10">
        <f t="shared" si="8"/>
        <v>-535.86198164972689</v>
      </c>
      <c r="K41" s="10">
        <f t="shared" si="1"/>
        <v>140061.80798496772</v>
      </c>
      <c r="L41" s="11">
        <f t="shared" si="2"/>
        <v>-460.21671145833329</v>
      </c>
      <c r="M41" s="11"/>
      <c r="N41" s="11"/>
      <c r="O41" s="11">
        <f t="shared" si="3"/>
        <v>902.02679999999998</v>
      </c>
      <c r="P41" s="12">
        <f t="shared" si="4"/>
        <v>-445.54606802460387</v>
      </c>
      <c r="Q41" s="10">
        <f t="shared" si="10"/>
        <v>-118103.89734045979</v>
      </c>
      <c r="R41" s="13">
        <f t="shared" si="5"/>
        <v>264915.09374999994</v>
      </c>
      <c r="S41" s="10">
        <f t="shared" si="6"/>
        <v>140061.80798496772</v>
      </c>
      <c r="T41" s="10">
        <f t="shared" si="13"/>
        <v>6749.388424572433</v>
      </c>
    </row>
    <row r="42" spans="2:20" x14ac:dyDescent="0.25">
      <c r="C42" s="3"/>
      <c r="F42" s="2">
        <f t="shared" si="11"/>
        <v>4</v>
      </c>
      <c r="G42" s="2">
        <f t="shared" si="12"/>
        <v>4</v>
      </c>
      <c r="H42" s="10">
        <f t="shared" si="0"/>
        <v>-887.35615656627056</v>
      </c>
      <c r="I42" s="11">
        <f t="shared" si="9"/>
        <v>-350.15451996241927</v>
      </c>
      <c r="J42" s="10">
        <f t="shared" si="8"/>
        <v>-537.20163660385128</v>
      </c>
      <c r="K42" s="10">
        <f t="shared" si="1"/>
        <v>139524.60634836386</v>
      </c>
      <c r="L42" s="11">
        <f t="shared" si="2"/>
        <v>-460.21671145833329</v>
      </c>
      <c r="M42" s="11"/>
      <c r="N42" s="11"/>
      <c r="O42" s="11">
        <f t="shared" si="3"/>
        <v>902.02679999999998</v>
      </c>
      <c r="P42" s="12">
        <f t="shared" si="4"/>
        <v>-445.54606802460387</v>
      </c>
      <c r="Q42" s="10">
        <f t="shared" si="10"/>
        <v>-118549.4434084844</v>
      </c>
      <c r="R42" s="13">
        <f t="shared" si="5"/>
        <v>264915.09374999994</v>
      </c>
      <c r="S42" s="10">
        <f t="shared" si="6"/>
        <v>139524.60634836386</v>
      </c>
      <c r="T42" s="10">
        <f t="shared" si="13"/>
        <v>6841.0439931516885</v>
      </c>
    </row>
    <row r="43" spans="2:20" x14ac:dyDescent="0.25">
      <c r="C43" s="3"/>
      <c r="F43" s="2">
        <f t="shared" si="11"/>
        <v>4</v>
      </c>
      <c r="G43" s="2">
        <f t="shared" si="12"/>
        <v>5</v>
      </c>
      <c r="H43" s="10">
        <f t="shared" si="0"/>
        <v>-887.35615656627056</v>
      </c>
      <c r="I43" s="11">
        <f t="shared" si="9"/>
        <v>-348.81151587090966</v>
      </c>
      <c r="J43" s="10">
        <f t="shared" si="8"/>
        <v>-538.54464069536084</v>
      </c>
      <c r="K43" s="10">
        <f t="shared" si="1"/>
        <v>138986.0617076685</v>
      </c>
      <c r="L43" s="11">
        <f t="shared" si="2"/>
        <v>-460.21671145833329</v>
      </c>
      <c r="M43" s="11"/>
      <c r="N43" s="11"/>
      <c r="O43" s="11">
        <f t="shared" si="3"/>
        <v>902.02679999999998</v>
      </c>
      <c r="P43" s="12">
        <f t="shared" si="4"/>
        <v>-445.54606802460387</v>
      </c>
      <c r="Q43" s="10">
        <f t="shared" si="10"/>
        <v>-118994.989476509</v>
      </c>
      <c r="R43" s="13">
        <f t="shared" si="5"/>
        <v>264915.09374999994</v>
      </c>
      <c r="S43" s="10">
        <f t="shared" si="6"/>
        <v>138986.0617076685</v>
      </c>
      <c r="T43" s="10">
        <f t="shared" si="13"/>
        <v>6934.0425658224412</v>
      </c>
    </row>
    <row r="44" spans="2:20" x14ac:dyDescent="0.25">
      <c r="C44" s="3"/>
      <c r="F44" s="2">
        <f t="shared" si="11"/>
        <v>4</v>
      </c>
      <c r="G44" s="2">
        <f t="shared" si="12"/>
        <v>6</v>
      </c>
      <c r="H44" s="10">
        <f t="shared" si="0"/>
        <v>-887.35615656627056</v>
      </c>
      <c r="I44" s="11">
        <f t="shared" si="9"/>
        <v>-347.46515426917125</v>
      </c>
      <c r="J44" s="10">
        <f t="shared" si="8"/>
        <v>-539.89100229709925</v>
      </c>
      <c r="K44" s="10">
        <f t="shared" si="1"/>
        <v>138446.17070537139</v>
      </c>
      <c r="L44" s="11">
        <f t="shared" si="2"/>
        <v>-460.21671145833329</v>
      </c>
      <c r="M44" s="11"/>
      <c r="N44" s="11"/>
      <c r="O44" s="11">
        <f t="shared" si="3"/>
        <v>902.02679999999998</v>
      </c>
      <c r="P44" s="12">
        <f t="shared" si="4"/>
        <v>-445.54606802460387</v>
      </c>
      <c r="Q44" s="10">
        <f t="shared" si="10"/>
        <v>-119440.5355445336</v>
      </c>
      <c r="R44" s="13">
        <f t="shared" si="5"/>
        <v>264915.09374999994</v>
      </c>
      <c r="S44" s="10">
        <f t="shared" si="6"/>
        <v>138446.17070537139</v>
      </c>
      <c r="T44" s="10">
        <f t="shared" si="13"/>
        <v>7028.3875000949483</v>
      </c>
    </row>
    <row r="45" spans="2:20" x14ac:dyDescent="0.25">
      <c r="C45" s="3"/>
      <c r="F45" s="2">
        <f t="shared" si="11"/>
        <v>4</v>
      </c>
      <c r="G45" s="2">
        <f t="shared" si="12"/>
        <v>7</v>
      </c>
      <c r="H45" s="10">
        <f t="shared" si="0"/>
        <v>-887.35615656627056</v>
      </c>
      <c r="I45" s="11">
        <f t="shared" si="9"/>
        <v>-346.1154267634285</v>
      </c>
      <c r="J45" s="10">
        <f t="shared" si="8"/>
        <v>-541.240729802842</v>
      </c>
      <c r="K45" s="10">
        <f t="shared" si="1"/>
        <v>137904.92997556855</v>
      </c>
      <c r="L45" s="11">
        <f t="shared" si="2"/>
        <v>-460.21671145833329</v>
      </c>
      <c r="M45" s="11"/>
      <c r="N45" s="11"/>
      <c r="O45" s="11">
        <f t="shared" si="3"/>
        <v>902.02679999999998</v>
      </c>
      <c r="P45" s="12">
        <f t="shared" si="4"/>
        <v>-445.54606802460387</v>
      </c>
      <c r="Q45" s="10">
        <f t="shared" si="10"/>
        <v>-119886.08161255821</v>
      </c>
      <c r="R45" s="13">
        <f t="shared" si="5"/>
        <v>264915.09374999994</v>
      </c>
      <c r="S45" s="10">
        <f t="shared" si="6"/>
        <v>137904.92997556855</v>
      </c>
      <c r="T45" s="10">
        <f t="shared" si="13"/>
        <v>7124.0821618731861</v>
      </c>
    </row>
    <row r="46" spans="2:20" x14ac:dyDescent="0.25">
      <c r="C46" s="3"/>
      <c r="F46" s="2">
        <f t="shared" si="11"/>
        <v>4</v>
      </c>
      <c r="G46" s="2">
        <f t="shared" si="12"/>
        <v>8</v>
      </c>
      <c r="H46" s="10">
        <f t="shared" si="0"/>
        <v>-887.35615656627056</v>
      </c>
      <c r="I46" s="11">
        <f t="shared" si="9"/>
        <v>-344.76232493892138</v>
      </c>
      <c r="J46" s="10">
        <f t="shared" si="8"/>
        <v>-542.59383162734912</v>
      </c>
      <c r="K46" s="10">
        <f t="shared" si="1"/>
        <v>137362.33614394121</v>
      </c>
      <c r="L46" s="11">
        <f t="shared" si="2"/>
        <v>-460.21671145833329</v>
      </c>
      <c r="M46" s="11"/>
      <c r="N46" s="11"/>
      <c r="O46" s="11">
        <f t="shared" si="3"/>
        <v>902.02679999999998</v>
      </c>
      <c r="P46" s="12">
        <f t="shared" si="4"/>
        <v>-445.54606802460387</v>
      </c>
      <c r="Q46" s="10">
        <f t="shared" si="10"/>
        <v>-120331.62768058281</v>
      </c>
      <c r="R46" s="13">
        <f t="shared" si="5"/>
        <v>264915.09374999994</v>
      </c>
      <c r="S46" s="10">
        <f t="shared" si="6"/>
        <v>137362.33614394121</v>
      </c>
      <c r="T46" s="10">
        <f t="shared" si="13"/>
        <v>7221.1299254759215</v>
      </c>
    </row>
    <row r="47" spans="2:20" x14ac:dyDescent="0.25">
      <c r="F47" s="2">
        <f t="shared" si="11"/>
        <v>4</v>
      </c>
      <c r="G47" s="2">
        <f t="shared" si="12"/>
        <v>9</v>
      </c>
      <c r="H47" s="10">
        <f t="shared" si="0"/>
        <v>-887.35615656627056</v>
      </c>
      <c r="I47" s="11">
        <f t="shared" si="9"/>
        <v>-343.40584035985302</v>
      </c>
      <c r="J47" s="10">
        <f t="shared" si="8"/>
        <v>-543.95031620641748</v>
      </c>
      <c r="K47" s="10">
        <f t="shared" si="1"/>
        <v>136818.3858277348</v>
      </c>
      <c r="L47" s="11">
        <f t="shared" si="2"/>
        <v>-460.21671145833329</v>
      </c>
      <c r="M47" s="11"/>
      <c r="N47" s="11"/>
      <c r="O47" s="11">
        <f t="shared" si="3"/>
        <v>902.02679999999998</v>
      </c>
      <c r="P47" s="12">
        <f t="shared" si="4"/>
        <v>-445.54606802460387</v>
      </c>
      <c r="Q47" s="10">
        <f t="shared" si="10"/>
        <v>-120777.17374860741</v>
      </c>
      <c r="R47" s="13">
        <f t="shared" si="5"/>
        <v>264915.09374999994</v>
      </c>
      <c r="S47" s="10">
        <f t="shared" si="6"/>
        <v>136818.3858277348</v>
      </c>
      <c r="T47" s="10">
        <f t="shared" si="13"/>
        <v>7319.5341736577248</v>
      </c>
    </row>
    <row r="48" spans="2:20" x14ac:dyDescent="0.25">
      <c r="F48" s="2">
        <f t="shared" si="11"/>
        <v>4</v>
      </c>
      <c r="G48" s="2">
        <f t="shared" si="12"/>
        <v>10</v>
      </c>
      <c r="H48" s="10">
        <f t="shared" si="0"/>
        <v>-887.35615656627056</v>
      </c>
      <c r="I48" s="11">
        <f t="shared" si="9"/>
        <v>-342.045964569337</v>
      </c>
      <c r="J48" s="10">
        <f t="shared" si="8"/>
        <v>-545.31019199693355</v>
      </c>
      <c r="K48" s="10">
        <f t="shared" si="1"/>
        <v>136273.07563573789</v>
      </c>
      <c r="L48" s="11">
        <f t="shared" si="2"/>
        <v>-460.21671145833329</v>
      </c>
      <c r="M48" s="11"/>
      <c r="N48" s="11"/>
      <c r="O48" s="11">
        <f t="shared" si="3"/>
        <v>902.02679999999998</v>
      </c>
      <c r="P48" s="12">
        <f t="shared" si="4"/>
        <v>-445.54606802460387</v>
      </c>
      <c r="Q48" s="10">
        <f t="shared" si="10"/>
        <v>-121222.71981663202</v>
      </c>
      <c r="R48" s="13">
        <f t="shared" si="5"/>
        <v>264915.09374999994</v>
      </c>
      <c r="S48" s="10">
        <f t="shared" si="6"/>
        <v>136273.07563573789</v>
      </c>
      <c r="T48" s="10">
        <f t="shared" si="13"/>
        <v>7419.2982976300409</v>
      </c>
    </row>
    <row r="49" spans="4:20" x14ac:dyDescent="0.25">
      <c r="F49" s="2">
        <f t="shared" si="11"/>
        <v>4</v>
      </c>
      <c r="G49" s="2">
        <f t="shared" si="12"/>
        <v>11</v>
      </c>
      <c r="H49" s="10">
        <f t="shared" si="0"/>
        <v>-887.35615656627056</v>
      </c>
      <c r="I49" s="11">
        <f t="shared" si="9"/>
        <v>-340.68268908934471</v>
      </c>
      <c r="J49" s="10">
        <f t="shared" si="8"/>
        <v>-546.67346747692591</v>
      </c>
      <c r="K49" s="10">
        <f t="shared" si="1"/>
        <v>135726.40216826095</v>
      </c>
      <c r="L49" s="11">
        <f t="shared" si="2"/>
        <v>-460.21671145833329</v>
      </c>
      <c r="M49" s="11"/>
      <c r="N49" s="11"/>
      <c r="O49" s="11">
        <f t="shared" si="3"/>
        <v>902.02679999999998</v>
      </c>
      <c r="P49" s="12">
        <f t="shared" si="4"/>
        <v>-445.54606802460387</v>
      </c>
      <c r="Q49" s="10">
        <f t="shared" si="10"/>
        <v>-121668.26588465662</v>
      </c>
      <c r="R49" s="13">
        <f t="shared" si="5"/>
        <v>264915.09374999994</v>
      </c>
      <c r="S49" s="10">
        <f t="shared" si="6"/>
        <v>135726.40216826095</v>
      </c>
      <c r="T49" s="10">
        <f t="shared" si="13"/>
        <v>7520.4256970823772</v>
      </c>
    </row>
    <row r="50" spans="4:20" x14ac:dyDescent="0.25">
      <c r="F50" s="2">
        <f t="shared" si="11"/>
        <v>4</v>
      </c>
      <c r="G50" s="2">
        <f t="shared" si="12"/>
        <v>12</v>
      </c>
      <c r="H50" s="10">
        <f t="shared" si="0"/>
        <v>-887.35615656627056</v>
      </c>
      <c r="I50" s="11">
        <f t="shared" si="9"/>
        <v>-339.31600542065235</v>
      </c>
      <c r="J50" s="10">
        <f t="shared" si="8"/>
        <v>-548.04015114561821</v>
      </c>
      <c r="K50" s="10">
        <f t="shared" si="1"/>
        <v>135178.36201711532</v>
      </c>
      <c r="L50" s="11">
        <f t="shared" si="2"/>
        <v>-460.21671145833329</v>
      </c>
      <c r="M50" s="11"/>
      <c r="N50" s="11"/>
      <c r="O50" s="11">
        <f t="shared" si="3"/>
        <v>902.02679999999998</v>
      </c>
      <c r="P50" s="12">
        <f t="shared" si="4"/>
        <v>-445.54606802460387</v>
      </c>
      <c r="Q50" s="10">
        <f t="shared" si="10"/>
        <v>-122113.81195268122</v>
      </c>
      <c r="R50" s="13">
        <f t="shared" si="5"/>
        <v>264915.09374999994</v>
      </c>
      <c r="S50" s="10">
        <f t="shared" si="6"/>
        <v>135178.36201711532</v>
      </c>
      <c r="T50" s="10">
        <f t="shared" si="13"/>
        <v>7622.9197802034032</v>
      </c>
    </row>
    <row r="51" spans="4:20" x14ac:dyDescent="0.25">
      <c r="F51" s="2">
        <f t="shared" si="11"/>
        <v>5</v>
      </c>
      <c r="G51" s="2">
        <f t="shared" si="12"/>
        <v>1</v>
      </c>
      <c r="H51" s="10">
        <f t="shared" si="0"/>
        <v>-887.35615656627056</v>
      </c>
      <c r="I51" s="11">
        <f t="shared" si="9"/>
        <v>-337.9459050427883</v>
      </c>
      <c r="J51" s="10">
        <f t="shared" si="8"/>
        <v>-549.4102515234822</v>
      </c>
      <c r="K51" s="10">
        <f t="shared" si="1"/>
        <v>134628.95176559183</v>
      </c>
      <c r="L51" s="11">
        <f t="shared" si="2"/>
        <v>-467.85819191145822</v>
      </c>
      <c r="M51" s="11"/>
      <c r="N51" s="11"/>
      <c r="O51" s="11">
        <f t="shared" si="3"/>
        <v>920.06733599999995</v>
      </c>
      <c r="P51" s="12">
        <f t="shared" si="4"/>
        <v>-435.14701247772894</v>
      </c>
      <c r="Q51" s="10">
        <f t="shared" si="10"/>
        <v>-122548.95896515895</v>
      </c>
      <c r="R51" s="13">
        <f t="shared" si="5"/>
        <v>271537.97109374992</v>
      </c>
      <c r="S51" s="10">
        <f t="shared" si="6"/>
        <v>134628.95176559183</v>
      </c>
      <c r="T51" s="10">
        <f t="shared" si="13"/>
        <v>14360.060362999138</v>
      </c>
    </row>
    <row r="52" spans="4:20" x14ac:dyDescent="0.25">
      <c r="F52" s="2">
        <f t="shared" si="11"/>
        <v>5</v>
      </c>
      <c r="G52" s="2">
        <f t="shared" si="12"/>
        <v>2</v>
      </c>
      <c r="H52" s="10">
        <f t="shared" si="0"/>
        <v>-887.35615656627056</v>
      </c>
      <c r="I52" s="11">
        <f t="shared" si="9"/>
        <v>-336.5723794139796</v>
      </c>
      <c r="J52" s="10">
        <f t="shared" si="8"/>
        <v>-550.7837771522909</v>
      </c>
      <c r="K52" s="10">
        <f t="shared" si="1"/>
        <v>134078.16798843953</v>
      </c>
      <c r="L52" s="11">
        <f t="shared" si="2"/>
        <v>-467.85819191145822</v>
      </c>
      <c r="M52" s="11"/>
      <c r="N52" s="11"/>
      <c r="O52" s="11">
        <f t="shared" si="3"/>
        <v>920.06733599999995</v>
      </c>
      <c r="P52" s="12">
        <f t="shared" si="4"/>
        <v>-435.14701247772894</v>
      </c>
      <c r="Q52" s="10">
        <f t="shared" si="10"/>
        <v>-122984.10597763667</v>
      </c>
      <c r="R52" s="13">
        <f t="shared" si="5"/>
        <v>271537.97109374992</v>
      </c>
      <c r="S52" s="10">
        <f t="shared" si="6"/>
        <v>134078.16798843953</v>
      </c>
      <c r="T52" s="10">
        <f t="shared" si="13"/>
        <v>14475.697127673717</v>
      </c>
    </row>
    <row r="53" spans="4:20" x14ac:dyDescent="0.25">
      <c r="F53" s="2">
        <f t="shared" si="11"/>
        <v>5</v>
      </c>
      <c r="G53" s="2">
        <f t="shared" si="12"/>
        <v>3</v>
      </c>
      <c r="H53" s="10">
        <f t="shared" si="0"/>
        <v>-887.35615656627056</v>
      </c>
      <c r="I53" s="11">
        <f t="shared" si="9"/>
        <v>-335.19541997109883</v>
      </c>
      <c r="J53" s="10">
        <f t="shared" si="8"/>
        <v>-552.16073659517178</v>
      </c>
      <c r="K53" s="10">
        <f t="shared" si="1"/>
        <v>133526.00725184436</v>
      </c>
      <c r="L53" s="11">
        <f t="shared" si="2"/>
        <v>-467.85819191145822</v>
      </c>
      <c r="M53" s="11"/>
      <c r="N53" s="11"/>
      <c r="O53" s="11">
        <f t="shared" si="3"/>
        <v>920.06733599999995</v>
      </c>
      <c r="P53" s="12">
        <f t="shared" si="4"/>
        <v>-435.14701247772894</v>
      </c>
      <c r="Q53" s="10">
        <f t="shared" si="10"/>
        <v>-123419.2529901144</v>
      </c>
      <c r="R53" s="13">
        <f t="shared" si="5"/>
        <v>271537.97109374992</v>
      </c>
      <c r="S53" s="10">
        <f t="shared" si="6"/>
        <v>133526.00725184436</v>
      </c>
      <c r="T53" s="10">
        <f t="shared" si="13"/>
        <v>14592.710851791155</v>
      </c>
    </row>
    <row r="54" spans="4:20" x14ac:dyDescent="0.25">
      <c r="F54" s="2">
        <f t="shared" si="11"/>
        <v>5</v>
      </c>
      <c r="G54" s="2">
        <f t="shared" si="12"/>
        <v>4</v>
      </c>
      <c r="H54" s="10">
        <f t="shared" si="0"/>
        <v>-887.35615656627056</v>
      </c>
      <c r="I54" s="11">
        <f t="shared" si="9"/>
        <v>-333.81501812961091</v>
      </c>
      <c r="J54" s="10">
        <f t="shared" si="8"/>
        <v>-553.54113843665959</v>
      </c>
      <c r="K54" s="10">
        <f t="shared" si="1"/>
        <v>132972.46611340772</v>
      </c>
      <c r="L54" s="11">
        <f t="shared" si="2"/>
        <v>-467.85819191145822</v>
      </c>
      <c r="M54" s="11"/>
      <c r="N54" s="11"/>
      <c r="O54" s="11">
        <f t="shared" si="3"/>
        <v>920.06733599999995</v>
      </c>
      <c r="P54" s="12">
        <f t="shared" si="4"/>
        <v>-435.14701247772894</v>
      </c>
      <c r="Q54" s="10">
        <f t="shared" si="10"/>
        <v>-123854.40000259213</v>
      </c>
      <c r="R54" s="13">
        <f t="shared" si="5"/>
        <v>271537.97109374992</v>
      </c>
      <c r="S54" s="10">
        <f t="shared" si="6"/>
        <v>132972.46611340772</v>
      </c>
      <c r="T54" s="10">
        <f t="shared" si="13"/>
        <v>14711.104977750074</v>
      </c>
    </row>
    <row r="55" spans="4:20" x14ac:dyDescent="0.25">
      <c r="F55" s="2">
        <f t="shared" si="11"/>
        <v>5</v>
      </c>
      <c r="G55" s="2">
        <f t="shared" si="12"/>
        <v>5</v>
      </c>
      <c r="H55" s="10">
        <f t="shared" si="0"/>
        <v>-887.35615656627056</v>
      </c>
      <c r="I55" s="11">
        <f t="shared" si="9"/>
        <v>-332.43116528351931</v>
      </c>
      <c r="J55" s="10">
        <f t="shared" si="8"/>
        <v>-554.92499128275131</v>
      </c>
      <c r="K55" s="10">
        <f t="shared" si="1"/>
        <v>132417.54112212497</v>
      </c>
      <c r="L55" s="11">
        <f t="shared" si="2"/>
        <v>-467.85819191145822</v>
      </c>
      <c r="M55" s="11"/>
      <c r="N55" s="11"/>
      <c r="O55" s="11">
        <f t="shared" si="3"/>
        <v>920.06733599999995</v>
      </c>
      <c r="P55" s="12">
        <f t="shared" si="4"/>
        <v>-435.14701247772894</v>
      </c>
      <c r="Q55" s="10">
        <f t="shared" si="10"/>
        <v>-124289.54701506985</v>
      </c>
      <c r="R55" s="13">
        <f t="shared" si="5"/>
        <v>271537.97109374992</v>
      </c>
      <c r="S55" s="10">
        <f t="shared" si="6"/>
        <v>132417.54112212497</v>
      </c>
      <c r="T55" s="10">
        <f t="shared" si="13"/>
        <v>14830.882956555099</v>
      </c>
    </row>
    <row r="56" spans="4:20" x14ac:dyDescent="0.25">
      <c r="F56" s="2">
        <f t="shared" si="11"/>
        <v>5</v>
      </c>
      <c r="G56" s="2">
        <f t="shared" si="12"/>
        <v>6</v>
      </c>
      <c r="H56" s="10">
        <f t="shared" si="0"/>
        <v>-887.35615656627056</v>
      </c>
      <c r="I56" s="11">
        <f t="shared" si="9"/>
        <v>-331.04385280531244</v>
      </c>
      <c r="J56" s="10">
        <f t="shared" si="8"/>
        <v>-556.31230376095812</v>
      </c>
      <c r="K56" s="10">
        <f t="shared" si="1"/>
        <v>131861.228818364</v>
      </c>
      <c r="L56" s="11">
        <f t="shared" si="2"/>
        <v>-467.85819191145822</v>
      </c>
      <c r="M56" s="11"/>
      <c r="N56" s="11"/>
      <c r="O56" s="11">
        <f t="shared" si="3"/>
        <v>920.06733599999995</v>
      </c>
      <c r="P56" s="12">
        <f t="shared" si="4"/>
        <v>-435.14701247772894</v>
      </c>
      <c r="Q56" s="10">
        <f t="shared" si="10"/>
        <v>-124724.69402754758</v>
      </c>
      <c r="R56" s="13">
        <f t="shared" si="5"/>
        <v>271537.97109374992</v>
      </c>
      <c r="S56" s="10">
        <f t="shared" si="6"/>
        <v>131861.228818364</v>
      </c>
      <c r="T56" s="10">
        <f t="shared" si="13"/>
        <v>14952.048247838335</v>
      </c>
    </row>
    <row r="57" spans="4:20" x14ac:dyDescent="0.25">
      <c r="F57" s="2">
        <f t="shared" si="11"/>
        <v>5</v>
      </c>
      <c r="G57" s="2">
        <f t="shared" si="12"/>
        <v>7</v>
      </c>
      <c r="H57" s="10">
        <f t="shared" si="0"/>
        <v>-887.35615656627056</v>
      </c>
      <c r="I57" s="11">
        <f t="shared" si="9"/>
        <v>-329.65307204590999</v>
      </c>
      <c r="J57" s="10">
        <f t="shared" si="8"/>
        <v>-557.70308452036056</v>
      </c>
      <c r="K57" s="10">
        <f t="shared" si="1"/>
        <v>131303.52573384365</v>
      </c>
      <c r="L57" s="11">
        <f t="shared" si="2"/>
        <v>-467.85819191145822</v>
      </c>
      <c r="M57" s="11"/>
      <c r="N57" s="11"/>
      <c r="O57" s="11">
        <f t="shared" si="3"/>
        <v>920.06733599999995</v>
      </c>
      <c r="P57" s="12">
        <f t="shared" si="4"/>
        <v>-435.14701247772894</v>
      </c>
      <c r="Q57" s="10">
        <f t="shared" si="10"/>
        <v>-125159.84104002531</v>
      </c>
      <c r="R57" s="13">
        <f t="shared" si="5"/>
        <v>271537.97109374992</v>
      </c>
      <c r="S57" s="10">
        <f t="shared" si="6"/>
        <v>131303.52573384365</v>
      </c>
      <c r="T57" s="10">
        <f t="shared" si="13"/>
        <v>15074.604319880964</v>
      </c>
    </row>
    <row r="58" spans="4:20" x14ac:dyDescent="0.25">
      <c r="F58" s="2">
        <f t="shared" si="11"/>
        <v>5</v>
      </c>
      <c r="G58" s="2">
        <f t="shared" si="12"/>
        <v>8</v>
      </c>
      <c r="H58" s="10">
        <f t="shared" si="0"/>
        <v>-887.35615656627056</v>
      </c>
      <c r="I58" s="11">
        <f t="shared" si="9"/>
        <v>-328.25881433460916</v>
      </c>
      <c r="J58" s="10">
        <f t="shared" si="8"/>
        <v>-559.0973422316614</v>
      </c>
      <c r="K58" s="10">
        <f t="shared" si="1"/>
        <v>130744.42839161199</v>
      </c>
      <c r="L58" s="11">
        <f t="shared" si="2"/>
        <v>-467.85819191145822</v>
      </c>
      <c r="M58" s="11"/>
      <c r="N58" s="11"/>
      <c r="O58" s="11">
        <f t="shared" si="3"/>
        <v>920.06733599999995</v>
      </c>
      <c r="P58" s="12">
        <f t="shared" si="4"/>
        <v>-435.14701247772894</v>
      </c>
      <c r="Q58" s="10">
        <f t="shared" si="10"/>
        <v>-125594.98805250303</v>
      </c>
      <c r="R58" s="13">
        <f t="shared" si="5"/>
        <v>271537.97109374992</v>
      </c>
      <c r="S58" s="10">
        <f t="shared" si="6"/>
        <v>130744.42839161199</v>
      </c>
      <c r="T58" s="10">
        <f t="shared" si="13"/>
        <v>15198.554649634898</v>
      </c>
    </row>
    <row r="59" spans="4:20" x14ac:dyDescent="0.25">
      <c r="F59" s="2">
        <f t="shared" si="11"/>
        <v>5</v>
      </c>
      <c r="G59" s="2">
        <f t="shared" si="12"/>
        <v>9</v>
      </c>
      <c r="H59" s="10">
        <f t="shared" si="0"/>
        <v>-887.35615656627056</v>
      </c>
      <c r="I59" s="11">
        <f t="shared" si="9"/>
        <v>-326.86107097902999</v>
      </c>
      <c r="J59" s="10">
        <f t="shared" si="8"/>
        <v>-560.49508558724051</v>
      </c>
      <c r="K59" s="10">
        <f t="shared" si="1"/>
        <v>130183.93330602474</v>
      </c>
      <c r="L59" s="11">
        <f t="shared" si="2"/>
        <v>-467.85819191145822</v>
      </c>
      <c r="M59" s="11"/>
      <c r="N59" s="11"/>
      <c r="O59" s="11">
        <f t="shared" si="3"/>
        <v>920.06733599999995</v>
      </c>
      <c r="P59" s="12">
        <f t="shared" si="4"/>
        <v>-435.14701247772894</v>
      </c>
      <c r="Q59" s="10">
        <f t="shared" si="10"/>
        <v>-126030.13506498076</v>
      </c>
      <c r="R59" s="13">
        <f t="shared" si="5"/>
        <v>271537.97109374992</v>
      </c>
      <c r="S59" s="10">
        <f t="shared" si="6"/>
        <v>130183.93330602474</v>
      </c>
      <c r="T59" s="10">
        <f t="shared" si="13"/>
        <v>15323.902722744402</v>
      </c>
    </row>
    <row r="60" spans="4:20" x14ac:dyDescent="0.25">
      <c r="F60" s="2">
        <f t="shared" si="11"/>
        <v>5</v>
      </c>
      <c r="G60" s="2">
        <f t="shared" si="12"/>
        <v>10</v>
      </c>
      <c r="H60" s="10">
        <f t="shared" si="0"/>
        <v>-887.35615656627056</v>
      </c>
      <c r="I60" s="11">
        <f t="shared" si="9"/>
        <v>-325.45983326506189</v>
      </c>
      <c r="J60" s="10">
        <f t="shared" si="8"/>
        <v>-561.89632330120867</v>
      </c>
      <c r="K60" s="10">
        <f t="shared" si="1"/>
        <v>129622.03698272354</v>
      </c>
      <c r="L60" s="11">
        <f t="shared" si="2"/>
        <v>-467.85819191145822</v>
      </c>
      <c r="M60" s="11"/>
      <c r="N60" s="11"/>
      <c r="O60" s="11">
        <f t="shared" si="3"/>
        <v>920.06733599999995</v>
      </c>
      <c r="P60" s="12">
        <f t="shared" si="4"/>
        <v>-435.14701247772894</v>
      </c>
      <c r="Q60" s="10">
        <f t="shared" si="10"/>
        <v>-126465.28207745848</v>
      </c>
      <c r="R60" s="13">
        <f t="shared" si="5"/>
        <v>271537.97109374992</v>
      </c>
      <c r="S60" s="10">
        <f t="shared" si="6"/>
        <v>129622.03698272354</v>
      </c>
      <c r="T60" s="10">
        <f t="shared" si="13"/>
        <v>15450.652033567894</v>
      </c>
    </row>
    <row r="61" spans="4:20" x14ac:dyDescent="0.25">
      <c r="F61" s="2">
        <f t="shared" si="11"/>
        <v>5</v>
      </c>
      <c r="G61" s="2">
        <f t="shared" si="12"/>
        <v>11</v>
      </c>
      <c r="H61" s="10">
        <f t="shared" si="0"/>
        <v>-887.35615656627056</v>
      </c>
      <c r="I61" s="11">
        <f t="shared" si="9"/>
        <v>-324.05509245680884</v>
      </c>
      <c r="J61" s="10">
        <f t="shared" si="8"/>
        <v>-563.30106410946178</v>
      </c>
      <c r="K61" s="10">
        <f t="shared" si="1"/>
        <v>129058.73591861408</v>
      </c>
      <c r="L61" s="11">
        <f t="shared" si="2"/>
        <v>-467.85819191145822</v>
      </c>
      <c r="M61" s="11"/>
      <c r="N61" s="11"/>
      <c r="O61" s="11">
        <f t="shared" si="3"/>
        <v>920.06733599999995</v>
      </c>
      <c r="P61" s="12">
        <f t="shared" si="4"/>
        <v>-435.14701247772894</v>
      </c>
      <c r="Q61" s="10">
        <f t="shared" si="10"/>
        <v>-126900.42908993621</v>
      </c>
      <c r="R61" s="13">
        <f t="shared" si="5"/>
        <v>271537.97109374992</v>
      </c>
      <c r="S61" s="10">
        <f>K61</f>
        <v>129058.73591861408</v>
      </c>
      <c r="T61" s="10">
        <f t="shared" si="13"/>
        <v>15578.806085199627</v>
      </c>
    </row>
    <row r="62" spans="4:20" x14ac:dyDescent="0.25">
      <c r="F62" s="2">
        <f t="shared" si="11"/>
        <v>5</v>
      </c>
      <c r="G62" s="2">
        <f t="shared" si="12"/>
        <v>12</v>
      </c>
      <c r="H62" s="10">
        <f t="shared" si="0"/>
        <v>-887.35615656627056</v>
      </c>
      <c r="I62" s="11">
        <f t="shared" si="9"/>
        <v>-322.64683979653523</v>
      </c>
      <c r="J62" s="10">
        <f t="shared" si="8"/>
        <v>-564.70931676973532</v>
      </c>
      <c r="K62" s="10">
        <f t="shared" si="1"/>
        <v>128494.02660184435</v>
      </c>
      <c r="L62" s="11">
        <f t="shared" si="2"/>
        <v>-467.85819191145822</v>
      </c>
      <c r="M62" s="11">
        <f>$C$30</f>
        <v>127539.6355381904</v>
      </c>
      <c r="N62" s="11"/>
      <c r="O62" s="11">
        <f t="shared" si="3"/>
        <v>920.06733599999995</v>
      </c>
      <c r="P62" s="12">
        <f t="shared" si="4"/>
        <v>-435.14701247772894</v>
      </c>
      <c r="Q62" s="10">
        <f>Q61+P62</f>
        <v>-127335.57610241394</v>
      </c>
      <c r="R62" s="13">
        <f t="shared" si="5"/>
        <v>271537.97109374992</v>
      </c>
      <c r="S62" s="10">
        <f>K62</f>
        <v>128494.02660184435</v>
      </c>
      <c r="T62" s="10">
        <f t="shared" si="13"/>
        <v>15708.368389491632</v>
      </c>
    </row>
    <row r="63" spans="4:20" x14ac:dyDescent="0.25">
      <c r="D63" s="18" t="s">
        <v>43</v>
      </c>
      <c r="F63" s="2">
        <f t="shared" si="11"/>
        <v>6</v>
      </c>
      <c r="G63" s="2">
        <f t="shared" si="12"/>
        <v>1</v>
      </c>
      <c r="H63" s="10"/>
      <c r="I63" s="11"/>
      <c r="J63" s="10"/>
      <c r="K63" s="10"/>
      <c r="L63" s="11"/>
      <c r="M63" s="11">
        <f>M62*(1+$D$32)</f>
        <v>128059.24780069439</v>
      </c>
      <c r="N63" s="11">
        <f>-$C$34*(1+$C$35)^($F63-1)</f>
        <v>-938.46868272000006</v>
      </c>
      <c r="O63" s="11">
        <f t="shared" si="3"/>
        <v>938.46868272000006</v>
      </c>
      <c r="P63" s="12">
        <f t="shared" si="4"/>
        <v>0</v>
      </c>
      <c r="Q63" s="10">
        <f t="shared" ref="Q63:Q122" si="14">Q62+P63</f>
        <v>-127335.57610241394</v>
      </c>
      <c r="R63" s="13"/>
      <c r="S63" s="10"/>
      <c r="T63" s="10"/>
    </row>
    <row r="64" spans="4:20" x14ac:dyDescent="0.25">
      <c r="F64" s="2">
        <f t="shared" si="11"/>
        <v>6</v>
      </c>
      <c r="G64" s="2">
        <f t="shared" si="12"/>
        <v>2</v>
      </c>
      <c r="H64" s="10"/>
      <c r="I64" s="11"/>
      <c r="J64" s="10"/>
      <c r="K64" s="10"/>
      <c r="L64" s="11"/>
      <c r="M64" s="11">
        <f t="shared" ref="M64:M122" si="15">M63*(1+$D$32)</f>
        <v>128580.97702787531</v>
      </c>
      <c r="N64" s="11">
        <f t="shared" ref="N64:N122" si="16">-$C$34*(1+$C$35)^($F64-1)</f>
        <v>-938.46868272000006</v>
      </c>
      <c r="O64" s="11">
        <f t="shared" si="3"/>
        <v>938.46868272000006</v>
      </c>
      <c r="P64" s="12">
        <f t="shared" si="4"/>
        <v>0</v>
      </c>
      <c r="Q64" s="10">
        <f t="shared" si="14"/>
        <v>-127335.57610241394</v>
      </c>
      <c r="R64" s="13"/>
      <c r="S64" s="10"/>
      <c r="T64" s="10"/>
    </row>
    <row r="65" spans="3:20" x14ac:dyDescent="0.25">
      <c r="F65" s="2">
        <f t="shared" si="11"/>
        <v>6</v>
      </c>
      <c r="G65" s="2">
        <f t="shared" si="12"/>
        <v>3</v>
      </c>
      <c r="H65" s="10"/>
      <c r="I65" s="11"/>
      <c r="J65" s="10"/>
      <c r="K65" s="10"/>
      <c r="L65" s="11"/>
      <c r="M65" s="11">
        <f t="shared" si="15"/>
        <v>129104.83184450932</v>
      </c>
      <c r="N65" s="11">
        <f t="shared" si="16"/>
        <v>-938.46868272000006</v>
      </c>
      <c r="O65" s="11">
        <f t="shared" ref="O65:O122" si="17">$C$34*(1+$C$35)^($F65-1)</f>
        <v>938.46868272000006</v>
      </c>
      <c r="P65" s="12">
        <f t="shared" si="4"/>
        <v>0</v>
      </c>
      <c r="Q65" s="10">
        <f t="shared" si="14"/>
        <v>-127335.57610241394</v>
      </c>
      <c r="R65" s="13"/>
      <c r="S65" s="10"/>
      <c r="T65" s="10"/>
    </row>
    <row r="66" spans="3:20" x14ac:dyDescent="0.25">
      <c r="C66" s="3"/>
      <c r="F66" s="2">
        <f t="shared" si="11"/>
        <v>6</v>
      </c>
      <c r="G66" s="2">
        <f t="shared" si="12"/>
        <v>4</v>
      </c>
      <c r="H66" s="10"/>
      <c r="I66" s="11"/>
      <c r="J66" s="10"/>
      <c r="K66" s="10"/>
      <c r="L66" s="11"/>
      <c r="M66" s="11">
        <f t="shared" si="15"/>
        <v>129630.82091051096</v>
      </c>
      <c r="N66" s="11">
        <f t="shared" si="16"/>
        <v>-938.46868272000006</v>
      </c>
      <c r="O66" s="11">
        <f t="shared" si="17"/>
        <v>938.46868272000006</v>
      </c>
      <c r="P66" s="12">
        <f t="shared" si="4"/>
        <v>0</v>
      </c>
      <c r="Q66" s="10">
        <f t="shared" si="14"/>
        <v>-127335.57610241394</v>
      </c>
      <c r="R66" s="13"/>
      <c r="S66" s="10"/>
      <c r="T66" s="10"/>
    </row>
    <row r="67" spans="3:20" x14ac:dyDescent="0.25">
      <c r="C67" s="3"/>
      <c r="F67" s="2">
        <f t="shared" si="11"/>
        <v>6</v>
      </c>
      <c r="G67" s="2">
        <f t="shared" si="12"/>
        <v>5</v>
      </c>
      <c r="H67" s="10"/>
      <c r="I67" s="11"/>
      <c r="J67" s="10"/>
      <c r="K67" s="10"/>
      <c r="L67" s="11"/>
      <c r="M67" s="11">
        <f t="shared" si="15"/>
        <v>130158.95292107633</v>
      </c>
      <c r="N67" s="11">
        <f t="shared" si="16"/>
        <v>-938.46868272000006</v>
      </c>
      <c r="O67" s="11">
        <f t="shared" si="17"/>
        <v>938.46868272000006</v>
      </c>
      <c r="P67" s="12">
        <f t="shared" si="4"/>
        <v>0</v>
      </c>
      <c r="Q67" s="10">
        <f t="shared" si="14"/>
        <v>-127335.57610241394</v>
      </c>
      <c r="R67" s="13"/>
      <c r="S67" s="10"/>
      <c r="T67" s="10"/>
    </row>
    <row r="68" spans="3:20" x14ac:dyDescent="0.25">
      <c r="F68" s="2">
        <f t="shared" si="11"/>
        <v>6</v>
      </c>
      <c r="G68" s="2">
        <f t="shared" si="12"/>
        <v>6</v>
      </c>
      <c r="H68" s="10"/>
      <c r="I68" s="11"/>
      <c r="J68" s="10"/>
      <c r="K68" s="10"/>
      <c r="L68" s="11"/>
      <c r="M68" s="11">
        <f t="shared" si="15"/>
        <v>130689.23660682685</v>
      </c>
      <c r="N68" s="11">
        <f t="shared" si="16"/>
        <v>-938.46868272000006</v>
      </c>
      <c r="O68" s="11">
        <f t="shared" si="17"/>
        <v>938.46868272000006</v>
      </c>
      <c r="P68" s="12">
        <f t="shared" ref="P68:P121" si="18">L68+H68+N68+O68</f>
        <v>0</v>
      </c>
      <c r="Q68" s="10">
        <f t="shared" si="14"/>
        <v>-127335.57610241394</v>
      </c>
      <c r="R68" s="13"/>
      <c r="S68" s="10"/>
      <c r="T68" s="10"/>
    </row>
    <row r="69" spans="3:20" x14ac:dyDescent="0.25">
      <c r="F69" s="2">
        <f t="shared" si="11"/>
        <v>6</v>
      </c>
      <c r="G69" s="2">
        <f t="shared" si="12"/>
        <v>7</v>
      </c>
      <c r="H69" s="10"/>
      <c r="I69" s="11"/>
      <c r="J69" s="10"/>
      <c r="K69" s="10"/>
      <c r="L69" s="11"/>
      <c r="M69" s="11">
        <f t="shared" si="15"/>
        <v>131221.68073395357</v>
      </c>
      <c r="N69" s="11">
        <f t="shared" si="16"/>
        <v>-938.46868272000006</v>
      </c>
      <c r="O69" s="11">
        <f t="shared" si="17"/>
        <v>938.46868272000006</v>
      </c>
      <c r="P69" s="12">
        <f t="shared" si="18"/>
        <v>0</v>
      </c>
      <c r="Q69" s="10">
        <f t="shared" si="14"/>
        <v>-127335.57610241394</v>
      </c>
      <c r="R69" s="13"/>
      <c r="S69" s="10"/>
      <c r="T69" s="10"/>
    </row>
    <row r="70" spans="3:20" x14ac:dyDescent="0.25">
      <c r="F70" s="2">
        <f t="shared" si="11"/>
        <v>6</v>
      </c>
      <c r="G70" s="2">
        <f t="shared" si="12"/>
        <v>8</v>
      </c>
      <c r="H70" s="10"/>
      <c r="I70" s="11"/>
      <c r="J70" s="10"/>
      <c r="K70" s="10"/>
      <c r="L70" s="11"/>
      <c r="M70" s="11">
        <f t="shared" si="15"/>
        <v>131756.29410436208</v>
      </c>
      <c r="N70" s="11">
        <f t="shared" si="16"/>
        <v>-938.46868272000006</v>
      </c>
      <c r="O70" s="11">
        <f t="shared" si="17"/>
        <v>938.46868272000006</v>
      </c>
      <c r="P70" s="12">
        <f t="shared" si="18"/>
        <v>0</v>
      </c>
      <c r="Q70" s="10">
        <f t="shared" si="14"/>
        <v>-127335.57610241394</v>
      </c>
      <c r="R70" s="13"/>
      <c r="S70" s="10"/>
      <c r="T70" s="10"/>
    </row>
    <row r="71" spans="3:20" x14ac:dyDescent="0.25">
      <c r="F71" s="2">
        <f t="shared" si="11"/>
        <v>6</v>
      </c>
      <c r="G71" s="2">
        <f t="shared" si="12"/>
        <v>9</v>
      </c>
      <c r="H71" s="10"/>
      <c r="I71" s="11"/>
      <c r="J71" s="10"/>
      <c r="K71" s="10"/>
      <c r="L71" s="11"/>
      <c r="M71" s="11">
        <f t="shared" si="15"/>
        <v>132293.08555581802</v>
      </c>
      <c r="N71" s="11">
        <f t="shared" si="16"/>
        <v>-938.46868272000006</v>
      </c>
      <c r="O71" s="11">
        <f t="shared" si="17"/>
        <v>938.46868272000006</v>
      </c>
      <c r="P71" s="12">
        <f t="shared" si="18"/>
        <v>0</v>
      </c>
      <c r="Q71" s="10">
        <f t="shared" si="14"/>
        <v>-127335.57610241394</v>
      </c>
      <c r="R71" s="13"/>
      <c r="S71" s="10"/>
      <c r="T71" s="10"/>
    </row>
    <row r="72" spans="3:20" x14ac:dyDescent="0.25">
      <c r="F72" s="2">
        <f t="shared" si="11"/>
        <v>6</v>
      </c>
      <c r="G72" s="2">
        <f t="shared" si="12"/>
        <v>10</v>
      </c>
      <c r="H72" s="10"/>
      <c r="I72" s="11"/>
      <c r="J72" s="10"/>
      <c r="K72" s="10"/>
      <c r="L72" s="11"/>
      <c r="M72" s="11">
        <f t="shared" si="15"/>
        <v>132832.06396209321</v>
      </c>
      <c r="N72" s="11">
        <f t="shared" si="16"/>
        <v>-938.46868272000006</v>
      </c>
      <c r="O72" s="11">
        <f t="shared" si="17"/>
        <v>938.46868272000006</v>
      </c>
      <c r="P72" s="12">
        <f t="shared" si="18"/>
        <v>0</v>
      </c>
      <c r="Q72" s="10">
        <f t="shared" si="14"/>
        <v>-127335.57610241394</v>
      </c>
      <c r="R72" s="13"/>
      <c r="S72" s="10"/>
      <c r="T72" s="10"/>
    </row>
    <row r="73" spans="3:20" x14ac:dyDescent="0.25">
      <c r="F73" s="2">
        <f t="shared" si="11"/>
        <v>6</v>
      </c>
      <c r="G73" s="2">
        <f t="shared" si="12"/>
        <v>11</v>
      </c>
      <c r="H73" s="10"/>
      <c r="I73" s="11"/>
      <c r="J73" s="10"/>
      <c r="K73" s="10"/>
      <c r="L73" s="11"/>
      <c r="M73" s="11">
        <f t="shared" si="15"/>
        <v>133373.23823311226</v>
      </c>
      <c r="N73" s="11">
        <f t="shared" si="16"/>
        <v>-938.46868272000006</v>
      </c>
      <c r="O73" s="11">
        <f t="shared" si="17"/>
        <v>938.46868272000006</v>
      </c>
      <c r="P73" s="12">
        <f t="shared" si="18"/>
        <v>0</v>
      </c>
      <c r="Q73" s="10">
        <f t="shared" si="14"/>
        <v>-127335.57610241394</v>
      </c>
      <c r="R73" s="13"/>
      <c r="S73" s="10"/>
      <c r="T73" s="10"/>
    </row>
    <row r="74" spans="3:20" x14ac:dyDescent="0.25">
      <c r="F74" s="2">
        <f t="shared" si="11"/>
        <v>6</v>
      </c>
      <c r="G74" s="2">
        <f t="shared" si="12"/>
        <v>12</v>
      </c>
      <c r="H74" s="10"/>
      <c r="I74" s="11"/>
      <c r="J74" s="10"/>
      <c r="K74" s="10"/>
      <c r="L74" s="11"/>
      <c r="M74" s="11">
        <f t="shared" si="15"/>
        <v>133916.61731509998</v>
      </c>
      <c r="N74" s="11">
        <f t="shared" si="16"/>
        <v>-938.46868272000006</v>
      </c>
      <c r="O74" s="11">
        <f t="shared" si="17"/>
        <v>938.46868272000006</v>
      </c>
      <c r="P74" s="12">
        <f t="shared" si="18"/>
        <v>0</v>
      </c>
      <c r="Q74" s="10">
        <f t="shared" si="14"/>
        <v>-127335.57610241394</v>
      </c>
      <c r="R74" s="13"/>
      <c r="S74" s="10"/>
      <c r="T74" s="10"/>
    </row>
    <row r="75" spans="3:20" x14ac:dyDescent="0.25">
      <c r="F75" s="2">
        <f t="shared" si="11"/>
        <v>7</v>
      </c>
      <c r="G75" s="2">
        <f t="shared" si="12"/>
        <v>1</v>
      </c>
      <c r="H75" s="10"/>
      <c r="I75" s="11"/>
      <c r="J75" s="10"/>
      <c r="K75" s="10"/>
      <c r="L75" s="11"/>
      <c r="M75" s="11">
        <f t="shared" si="15"/>
        <v>134462.21019072918</v>
      </c>
      <c r="N75" s="11">
        <f t="shared" si="16"/>
        <v>-957.2380563744</v>
      </c>
      <c r="O75" s="11">
        <f t="shared" si="17"/>
        <v>957.2380563744</v>
      </c>
      <c r="P75" s="12">
        <f t="shared" si="18"/>
        <v>0</v>
      </c>
      <c r="Q75" s="10">
        <f t="shared" si="14"/>
        <v>-127335.57610241394</v>
      </c>
      <c r="R75" s="13"/>
      <c r="S75" s="10"/>
      <c r="T75" s="10"/>
    </row>
    <row r="76" spans="3:20" x14ac:dyDescent="0.25">
      <c r="F76" s="2">
        <f t="shared" si="11"/>
        <v>7</v>
      </c>
      <c r="G76" s="2">
        <f t="shared" si="12"/>
        <v>2</v>
      </c>
      <c r="H76" s="10"/>
      <c r="I76" s="11"/>
      <c r="J76" s="10"/>
      <c r="K76" s="10"/>
      <c r="L76" s="11"/>
      <c r="M76" s="11">
        <f t="shared" si="15"/>
        <v>135010.02587926915</v>
      </c>
      <c r="N76" s="11">
        <f t="shared" si="16"/>
        <v>-957.2380563744</v>
      </c>
      <c r="O76" s="11">
        <f t="shared" si="17"/>
        <v>957.2380563744</v>
      </c>
      <c r="P76" s="12">
        <f t="shared" si="18"/>
        <v>0</v>
      </c>
      <c r="Q76" s="10">
        <f t="shared" si="14"/>
        <v>-127335.57610241394</v>
      </c>
      <c r="R76" s="13"/>
      <c r="S76" s="10"/>
      <c r="T76" s="10"/>
    </row>
    <row r="77" spans="3:20" x14ac:dyDescent="0.25">
      <c r="F77" s="2">
        <f t="shared" si="11"/>
        <v>7</v>
      </c>
      <c r="G77" s="2">
        <f t="shared" si="12"/>
        <v>3</v>
      </c>
      <c r="H77" s="10"/>
      <c r="I77" s="11"/>
      <c r="J77" s="10"/>
      <c r="K77" s="10"/>
      <c r="L77" s="11"/>
      <c r="M77" s="11">
        <f t="shared" si="15"/>
        <v>135560.07343673485</v>
      </c>
      <c r="N77" s="11">
        <f t="shared" si="16"/>
        <v>-957.2380563744</v>
      </c>
      <c r="O77" s="11">
        <f t="shared" si="17"/>
        <v>957.2380563744</v>
      </c>
      <c r="P77" s="12">
        <f t="shared" si="18"/>
        <v>0</v>
      </c>
      <c r="Q77" s="10">
        <f t="shared" si="14"/>
        <v>-127335.57610241394</v>
      </c>
      <c r="R77" s="13"/>
      <c r="S77" s="10"/>
      <c r="T77" s="10"/>
    </row>
    <row r="78" spans="3:20" x14ac:dyDescent="0.25">
      <c r="F78" s="2">
        <f t="shared" si="11"/>
        <v>7</v>
      </c>
      <c r="G78" s="2">
        <f t="shared" si="12"/>
        <v>4</v>
      </c>
      <c r="H78" s="10"/>
      <c r="I78" s="11"/>
      <c r="J78" s="10"/>
      <c r="K78" s="10"/>
      <c r="L78" s="11"/>
      <c r="M78" s="11">
        <f t="shared" si="15"/>
        <v>136112.36195603656</v>
      </c>
      <c r="N78" s="11">
        <f t="shared" si="16"/>
        <v>-957.2380563744</v>
      </c>
      <c r="O78" s="11">
        <f t="shared" si="17"/>
        <v>957.2380563744</v>
      </c>
      <c r="P78" s="12">
        <f t="shared" si="18"/>
        <v>0</v>
      </c>
      <c r="Q78" s="10">
        <f t="shared" si="14"/>
        <v>-127335.57610241394</v>
      </c>
      <c r="R78" s="13"/>
      <c r="S78" s="10"/>
      <c r="T78" s="10"/>
    </row>
    <row r="79" spans="3:20" x14ac:dyDescent="0.25">
      <c r="F79" s="2">
        <f t="shared" si="11"/>
        <v>7</v>
      </c>
      <c r="G79" s="2">
        <f t="shared" si="12"/>
        <v>5</v>
      </c>
      <c r="H79" s="10"/>
      <c r="I79" s="11"/>
      <c r="J79" s="10"/>
      <c r="K79" s="10"/>
      <c r="L79" s="11"/>
      <c r="M79" s="11">
        <f t="shared" si="15"/>
        <v>136666.90056713021</v>
      </c>
      <c r="N79" s="11">
        <f t="shared" si="16"/>
        <v>-957.2380563744</v>
      </c>
      <c r="O79" s="11">
        <f t="shared" si="17"/>
        <v>957.2380563744</v>
      </c>
      <c r="P79" s="12">
        <f t="shared" si="18"/>
        <v>0</v>
      </c>
      <c r="Q79" s="10">
        <f t="shared" si="14"/>
        <v>-127335.57610241394</v>
      </c>
      <c r="R79" s="13"/>
      <c r="S79" s="10"/>
      <c r="T79" s="10"/>
    </row>
    <row r="80" spans="3:20" x14ac:dyDescent="0.25">
      <c r="F80" s="2">
        <f t="shared" si="11"/>
        <v>7</v>
      </c>
      <c r="G80" s="2">
        <f t="shared" si="12"/>
        <v>6</v>
      </c>
      <c r="H80" s="10"/>
      <c r="I80" s="11"/>
      <c r="J80" s="10"/>
      <c r="K80" s="10"/>
      <c r="L80" s="11"/>
      <c r="M80" s="11">
        <f t="shared" si="15"/>
        <v>137223.69843716826</v>
      </c>
      <c r="N80" s="11">
        <f t="shared" si="16"/>
        <v>-957.2380563744</v>
      </c>
      <c r="O80" s="11">
        <f t="shared" si="17"/>
        <v>957.2380563744</v>
      </c>
      <c r="P80" s="12">
        <f t="shared" si="18"/>
        <v>0</v>
      </c>
      <c r="Q80" s="10">
        <f t="shared" si="14"/>
        <v>-127335.57610241394</v>
      </c>
      <c r="R80" s="13"/>
      <c r="S80" s="10"/>
      <c r="T80" s="10"/>
    </row>
    <row r="81" spans="6:20" x14ac:dyDescent="0.25">
      <c r="F81" s="2">
        <f t="shared" ref="F81:F122" si="19">F69+1</f>
        <v>7</v>
      </c>
      <c r="G81" s="2">
        <f t="shared" ref="G81:G122" si="20">G69</f>
        <v>7</v>
      </c>
      <c r="H81" s="10"/>
      <c r="I81" s="11"/>
      <c r="J81" s="10"/>
      <c r="K81" s="10"/>
      <c r="L81" s="11"/>
      <c r="M81" s="11">
        <f t="shared" si="15"/>
        <v>137782.76477065132</v>
      </c>
      <c r="N81" s="11">
        <f t="shared" si="16"/>
        <v>-957.2380563744</v>
      </c>
      <c r="O81" s="11">
        <f t="shared" si="17"/>
        <v>957.2380563744</v>
      </c>
      <c r="P81" s="12">
        <f t="shared" si="18"/>
        <v>0</v>
      </c>
      <c r="Q81" s="10">
        <f t="shared" si="14"/>
        <v>-127335.57610241394</v>
      </c>
      <c r="R81" s="13"/>
      <c r="S81" s="10"/>
      <c r="T81" s="10"/>
    </row>
    <row r="82" spans="6:20" x14ac:dyDescent="0.25">
      <c r="F82" s="2">
        <f t="shared" si="19"/>
        <v>7</v>
      </c>
      <c r="G82" s="2">
        <f t="shared" si="20"/>
        <v>8</v>
      </c>
      <c r="H82" s="10"/>
      <c r="I82" s="11"/>
      <c r="J82" s="10"/>
      <c r="K82" s="10"/>
      <c r="L82" s="11"/>
      <c r="M82" s="11">
        <f t="shared" si="15"/>
        <v>138344.10880958027</v>
      </c>
      <c r="N82" s="11">
        <f t="shared" si="16"/>
        <v>-957.2380563744</v>
      </c>
      <c r="O82" s="11">
        <f t="shared" si="17"/>
        <v>957.2380563744</v>
      </c>
      <c r="P82" s="12">
        <f t="shared" si="18"/>
        <v>0</v>
      </c>
      <c r="Q82" s="10">
        <f t="shared" si="14"/>
        <v>-127335.57610241394</v>
      </c>
      <c r="R82" s="13"/>
      <c r="S82" s="10"/>
      <c r="T82" s="10"/>
    </row>
    <row r="83" spans="6:20" x14ac:dyDescent="0.25">
      <c r="F83" s="2">
        <f t="shared" si="19"/>
        <v>7</v>
      </c>
      <c r="G83" s="2">
        <f t="shared" si="20"/>
        <v>9</v>
      </c>
      <c r="H83" s="10"/>
      <c r="I83" s="11"/>
      <c r="J83" s="10"/>
      <c r="K83" s="10"/>
      <c r="L83" s="11"/>
      <c r="M83" s="11">
        <f t="shared" si="15"/>
        <v>138907.73983360903</v>
      </c>
      <c r="N83" s="11">
        <f t="shared" si="16"/>
        <v>-957.2380563744</v>
      </c>
      <c r="O83" s="11">
        <f t="shared" si="17"/>
        <v>957.2380563744</v>
      </c>
      <c r="P83" s="12">
        <f t="shared" si="18"/>
        <v>0</v>
      </c>
      <c r="Q83" s="10">
        <f t="shared" si="14"/>
        <v>-127335.57610241394</v>
      </c>
      <c r="R83" s="13"/>
      <c r="S83" s="10"/>
      <c r="T83" s="10"/>
    </row>
    <row r="84" spans="6:20" x14ac:dyDescent="0.25">
      <c r="F84" s="2">
        <f t="shared" si="19"/>
        <v>7</v>
      </c>
      <c r="G84" s="2">
        <f t="shared" si="20"/>
        <v>10</v>
      </c>
      <c r="H84" s="10"/>
      <c r="I84" s="11"/>
      <c r="J84" s="10"/>
      <c r="K84" s="10"/>
      <c r="L84" s="11"/>
      <c r="M84" s="11">
        <f t="shared" si="15"/>
        <v>139473.66716019798</v>
      </c>
      <c r="N84" s="11">
        <f t="shared" si="16"/>
        <v>-957.2380563744</v>
      </c>
      <c r="O84" s="11">
        <f t="shared" si="17"/>
        <v>957.2380563744</v>
      </c>
      <c r="P84" s="12">
        <f t="shared" si="18"/>
        <v>0</v>
      </c>
      <c r="Q84" s="10">
        <f t="shared" si="14"/>
        <v>-127335.57610241394</v>
      </c>
      <c r="R84" s="13"/>
      <c r="S84" s="10"/>
      <c r="T84" s="10"/>
    </row>
    <row r="85" spans="6:20" x14ac:dyDescent="0.25">
      <c r="F85" s="2">
        <f t="shared" si="19"/>
        <v>7</v>
      </c>
      <c r="G85" s="2">
        <f t="shared" si="20"/>
        <v>11</v>
      </c>
      <c r="H85" s="10"/>
      <c r="I85" s="11"/>
      <c r="J85" s="10"/>
      <c r="K85" s="10"/>
      <c r="L85" s="11"/>
      <c r="M85" s="11">
        <f t="shared" si="15"/>
        <v>140041.90014476801</v>
      </c>
      <c r="N85" s="11">
        <f t="shared" si="16"/>
        <v>-957.2380563744</v>
      </c>
      <c r="O85" s="11">
        <f t="shared" si="17"/>
        <v>957.2380563744</v>
      </c>
      <c r="P85" s="12">
        <f t="shared" si="18"/>
        <v>0</v>
      </c>
      <c r="Q85" s="10">
        <f t="shared" si="14"/>
        <v>-127335.57610241394</v>
      </c>
      <c r="R85" s="13"/>
      <c r="S85" s="10"/>
      <c r="T85" s="10"/>
    </row>
    <row r="86" spans="6:20" x14ac:dyDescent="0.25">
      <c r="F86" s="2">
        <f t="shared" si="19"/>
        <v>7</v>
      </c>
      <c r="G86" s="2">
        <f t="shared" si="20"/>
        <v>12</v>
      </c>
      <c r="H86" s="10"/>
      <c r="I86" s="11"/>
      <c r="J86" s="10"/>
      <c r="K86" s="10"/>
      <c r="L86" s="11"/>
      <c r="M86" s="11">
        <f t="shared" si="15"/>
        <v>140612.44818085511</v>
      </c>
      <c r="N86" s="11">
        <f t="shared" si="16"/>
        <v>-957.2380563744</v>
      </c>
      <c r="O86" s="11">
        <f t="shared" si="17"/>
        <v>957.2380563744</v>
      </c>
      <c r="P86" s="12">
        <f t="shared" si="18"/>
        <v>0</v>
      </c>
      <c r="Q86" s="10">
        <f t="shared" si="14"/>
        <v>-127335.57610241394</v>
      </c>
      <c r="R86" s="13"/>
      <c r="S86" s="10"/>
      <c r="T86" s="10"/>
    </row>
    <row r="87" spans="6:20" x14ac:dyDescent="0.25">
      <c r="F87" s="2">
        <f t="shared" si="19"/>
        <v>8</v>
      </c>
      <c r="G87" s="2">
        <f t="shared" si="20"/>
        <v>1</v>
      </c>
      <c r="H87" s="10"/>
      <c r="I87" s="11"/>
      <c r="J87" s="10"/>
      <c r="K87" s="10"/>
      <c r="L87" s="11"/>
      <c r="M87" s="11">
        <f t="shared" si="15"/>
        <v>141185.32070026576</v>
      </c>
      <c r="N87" s="11">
        <f t="shared" si="16"/>
        <v>-976.38281750188787</v>
      </c>
      <c r="O87" s="11">
        <f t="shared" si="17"/>
        <v>976.38281750188787</v>
      </c>
      <c r="P87" s="12">
        <f t="shared" si="18"/>
        <v>0</v>
      </c>
      <c r="Q87" s="10">
        <f t="shared" si="14"/>
        <v>-127335.57610241394</v>
      </c>
      <c r="R87" s="13"/>
      <c r="S87" s="10"/>
      <c r="T87" s="10"/>
    </row>
    <row r="88" spans="6:20" x14ac:dyDescent="0.25">
      <c r="F88" s="2">
        <f t="shared" si="19"/>
        <v>8</v>
      </c>
      <c r="G88" s="2">
        <f t="shared" si="20"/>
        <v>2</v>
      </c>
      <c r="H88" s="10"/>
      <c r="I88" s="11"/>
      <c r="J88" s="10"/>
      <c r="K88" s="10"/>
      <c r="L88" s="11"/>
      <c r="M88" s="11">
        <f t="shared" si="15"/>
        <v>141760.52717323272</v>
      </c>
      <c r="N88" s="11">
        <f t="shared" si="16"/>
        <v>-976.38281750188787</v>
      </c>
      <c r="O88" s="11">
        <f t="shared" si="17"/>
        <v>976.38281750188787</v>
      </c>
      <c r="P88" s="12">
        <f t="shared" si="18"/>
        <v>0</v>
      </c>
      <c r="Q88" s="10">
        <f t="shared" si="14"/>
        <v>-127335.57610241394</v>
      </c>
      <c r="R88" s="13"/>
      <c r="S88" s="10"/>
      <c r="T88" s="10"/>
    </row>
    <row r="89" spans="6:20" x14ac:dyDescent="0.25">
      <c r="F89" s="2">
        <f t="shared" si="19"/>
        <v>8</v>
      </c>
      <c r="G89" s="2">
        <f t="shared" si="20"/>
        <v>3</v>
      </c>
      <c r="H89" s="10"/>
      <c r="I89" s="11"/>
      <c r="J89" s="10"/>
      <c r="K89" s="10"/>
      <c r="L89" s="11"/>
      <c r="M89" s="11">
        <f t="shared" si="15"/>
        <v>142338.07710857171</v>
      </c>
      <c r="N89" s="11">
        <f t="shared" si="16"/>
        <v>-976.38281750188787</v>
      </c>
      <c r="O89" s="11">
        <f t="shared" si="17"/>
        <v>976.38281750188787</v>
      </c>
      <c r="P89" s="12">
        <f t="shared" si="18"/>
        <v>0</v>
      </c>
      <c r="Q89" s="10">
        <f t="shared" si="14"/>
        <v>-127335.57610241394</v>
      </c>
      <c r="R89" s="13"/>
      <c r="S89" s="10"/>
      <c r="T89" s="10"/>
    </row>
    <row r="90" spans="6:20" x14ac:dyDescent="0.25">
      <c r="F90" s="2">
        <f t="shared" si="19"/>
        <v>8</v>
      </c>
      <c r="G90" s="2">
        <f t="shared" si="20"/>
        <v>4</v>
      </c>
      <c r="H90" s="10"/>
      <c r="I90" s="11"/>
      <c r="J90" s="10"/>
      <c r="K90" s="10"/>
      <c r="L90" s="11"/>
      <c r="M90" s="11">
        <f t="shared" si="15"/>
        <v>142917.98005383852</v>
      </c>
      <c r="N90" s="11">
        <f t="shared" si="16"/>
        <v>-976.38281750188787</v>
      </c>
      <c r="O90" s="11">
        <f t="shared" si="17"/>
        <v>976.38281750188787</v>
      </c>
      <c r="P90" s="12">
        <f t="shared" si="18"/>
        <v>0</v>
      </c>
      <c r="Q90" s="10">
        <f t="shared" si="14"/>
        <v>-127335.57610241394</v>
      </c>
      <c r="R90" s="13"/>
      <c r="S90" s="10"/>
      <c r="T90" s="10"/>
    </row>
    <row r="91" spans="6:20" x14ac:dyDescent="0.25">
      <c r="F91" s="2">
        <f t="shared" si="19"/>
        <v>8</v>
      </c>
      <c r="G91" s="2">
        <f t="shared" si="20"/>
        <v>5</v>
      </c>
      <c r="H91" s="10"/>
      <c r="I91" s="11"/>
      <c r="J91" s="10"/>
      <c r="K91" s="10"/>
      <c r="L91" s="11"/>
      <c r="M91" s="11">
        <f t="shared" si="15"/>
        <v>143500.24559548683</v>
      </c>
      <c r="N91" s="11">
        <f t="shared" si="16"/>
        <v>-976.38281750188787</v>
      </c>
      <c r="O91" s="11">
        <f t="shared" si="17"/>
        <v>976.38281750188787</v>
      </c>
      <c r="P91" s="12">
        <f t="shared" si="18"/>
        <v>0</v>
      </c>
      <c r="Q91" s="10">
        <f t="shared" si="14"/>
        <v>-127335.57610241394</v>
      </c>
      <c r="R91" s="13"/>
      <c r="S91" s="10"/>
      <c r="T91" s="10"/>
    </row>
    <row r="92" spans="6:20" x14ac:dyDescent="0.25">
      <c r="F92" s="2">
        <f t="shared" si="19"/>
        <v>8</v>
      </c>
      <c r="G92" s="2">
        <f t="shared" si="20"/>
        <v>6</v>
      </c>
      <c r="H92" s="10"/>
      <c r="I92" s="11"/>
      <c r="J92" s="10"/>
      <c r="K92" s="10"/>
      <c r="L92" s="11"/>
      <c r="M92" s="11">
        <f t="shared" si="15"/>
        <v>144084.88335902677</v>
      </c>
      <c r="N92" s="11">
        <f t="shared" si="16"/>
        <v>-976.38281750188787</v>
      </c>
      <c r="O92" s="11">
        <f t="shared" si="17"/>
        <v>976.38281750188787</v>
      </c>
      <c r="P92" s="12">
        <f t="shared" si="18"/>
        <v>0</v>
      </c>
      <c r="Q92" s="10">
        <f t="shared" si="14"/>
        <v>-127335.57610241394</v>
      </c>
      <c r="R92" s="13"/>
      <c r="S92" s="10"/>
      <c r="T92" s="10"/>
    </row>
    <row r="93" spans="6:20" x14ac:dyDescent="0.25">
      <c r="F93" s="2">
        <f t="shared" si="19"/>
        <v>8</v>
      </c>
      <c r="G93" s="2">
        <f t="shared" si="20"/>
        <v>7</v>
      </c>
      <c r="H93" s="10"/>
      <c r="I93" s="11"/>
      <c r="J93" s="10"/>
      <c r="K93" s="10"/>
      <c r="L93" s="11"/>
      <c r="M93" s="11">
        <f t="shared" si="15"/>
        <v>144671.903009184</v>
      </c>
      <c r="N93" s="11">
        <f t="shared" si="16"/>
        <v>-976.38281750188787</v>
      </c>
      <c r="O93" s="11">
        <f t="shared" si="17"/>
        <v>976.38281750188787</v>
      </c>
      <c r="P93" s="12">
        <f t="shared" si="18"/>
        <v>0</v>
      </c>
      <c r="Q93" s="10">
        <f t="shared" si="14"/>
        <v>-127335.57610241394</v>
      </c>
      <c r="R93" s="13"/>
      <c r="S93" s="10"/>
      <c r="T93" s="10"/>
    </row>
    <row r="94" spans="6:20" x14ac:dyDescent="0.25">
      <c r="F94" s="2">
        <f t="shared" si="19"/>
        <v>8</v>
      </c>
      <c r="G94" s="2">
        <f t="shared" si="20"/>
        <v>8</v>
      </c>
      <c r="H94" s="10"/>
      <c r="I94" s="11"/>
      <c r="J94" s="10"/>
      <c r="K94" s="10"/>
      <c r="L94" s="11"/>
      <c r="M94" s="11">
        <f t="shared" si="15"/>
        <v>145261.31425005937</v>
      </c>
      <c r="N94" s="11">
        <f t="shared" si="16"/>
        <v>-976.38281750188787</v>
      </c>
      <c r="O94" s="11">
        <f t="shared" si="17"/>
        <v>976.38281750188787</v>
      </c>
      <c r="P94" s="12">
        <f t="shared" si="18"/>
        <v>0</v>
      </c>
      <c r="Q94" s="10">
        <f t="shared" si="14"/>
        <v>-127335.57610241394</v>
      </c>
      <c r="R94" s="13"/>
      <c r="S94" s="10"/>
      <c r="T94" s="10"/>
    </row>
    <row r="95" spans="6:20" x14ac:dyDescent="0.25">
      <c r="F95" s="2">
        <f t="shared" si="19"/>
        <v>8</v>
      </c>
      <c r="G95" s="2">
        <f t="shared" si="20"/>
        <v>9</v>
      </c>
      <c r="H95" s="10"/>
      <c r="I95" s="11"/>
      <c r="J95" s="10"/>
      <c r="K95" s="10"/>
      <c r="L95" s="11"/>
      <c r="M95" s="11">
        <f t="shared" si="15"/>
        <v>145853.12682528954</v>
      </c>
      <c r="N95" s="11">
        <f t="shared" si="16"/>
        <v>-976.38281750188787</v>
      </c>
      <c r="O95" s="11">
        <f t="shared" si="17"/>
        <v>976.38281750188787</v>
      </c>
      <c r="P95" s="12">
        <f t="shared" si="18"/>
        <v>0</v>
      </c>
      <c r="Q95" s="10">
        <f t="shared" si="14"/>
        <v>-127335.57610241394</v>
      </c>
      <c r="R95" s="13"/>
      <c r="S95" s="10"/>
      <c r="T95" s="10"/>
    </row>
    <row r="96" spans="6:20" x14ac:dyDescent="0.25">
      <c r="F96" s="2">
        <f t="shared" si="19"/>
        <v>8</v>
      </c>
      <c r="G96" s="2">
        <f t="shared" si="20"/>
        <v>10</v>
      </c>
      <c r="H96" s="10"/>
      <c r="I96" s="11"/>
      <c r="J96" s="10"/>
      <c r="K96" s="10"/>
      <c r="L96" s="11"/>
      <c r="M96" s="11">
        <f t="shared" si="15"/>
        <v>146447.35051820794</v>
      </c>
      <c r="N96" s="11">
        <f t="shared" si="16"/>
        <v>-976.38281750188787</v>
      </c>
      <c r="O96" s="11">
        <f t="shared" si="17"/>
        <v>976.38281750188787</v>
      </c>
      <c r="P96" s="12">
        <f t="shared" si="18"/>
        <v>0</v>
      </c>
      <c r="Q96" s="10">
        <f t="shared" si="14"/>
        <v>-127335.57610241394</v>
      </c>
      <c r="R96" s="13"/>
      <c r="S96" s="10"/>
      <c r="T96" s="10"/>
    </row>
    <row r="97" spans="6:20" x14ac:dyDescent="0.25">
      <c r="F97" s="2">
        <f t="shared" si="19"/>
        <v>8</v>
      </c>
      <c r="G97" s="2">
        <f t="shared" si="20"/>
        <v>11</v>
      </c>
      <c r="H97" s="10"/>
      <c r="I97" s="11"/>
      <c r="J97" s="10"/>
      <c r="K97" s="10"/>
      <c r="L97" s="11"/>
      <c r="M97" s="11">
        <f t="shared" si="15"/>
        <v>147043.99515200645</v>
      </c>
      <c r="N97" s="11">
        <f t="shared" si="16"/>
        <v>-976.38281750188787</v>
      </c>
      <c r="O97" s="11">
        <f t="shared" si="17"/>
        <v>976.38281750188787</v>
      </c>
      <c r="P97" s="12">
        <f t="shared" si="18"/>
        <v>0</v>
      </c>
      <c r="Q97" s="10">
        <f t="shared" si="14"/>
        <v>-127335.57610241394</v>
      </c>
      <c r="R97" s="13"/>
      <c r="S97" s="10"/>
      <c r="T97" s="10"/>
    </row>
    <row r="98" spans="6:20" x14ac:dyDescent="0.25">
      <c r="F98" s="2">
        <f t="shared" si="19"/>
        <v>8</v>
      </c>
      <c r="G98" s="2">
        <f t="shared" si="20"/>
        <v>12</v>
      </c>
      <c r="H98" s="10"/>
      <c r="I98" s="11"/>
      <c r="J98" s="10"/>
      <c r="K98" s="10"/>
      <c r="L98" s="11"/>
      <c r="M98" s="11">
        <f t="shared" si="15"/>
        <v>147643.07058989792</v>
      </c>
      <c r="N98" s="11">
        <f t="shared" si="16"/>
        <v>-976.38281750188787</v>
      </c>
      <c r="O98" s="11">
        <f t="shared" si="17"/>
        <v>976.38281750188787</v>
      </c>
      <c r="P98" s="12">
        <f t="shared" si="18"/>
        <v>0</v>
      </c>
      <c r="Q98" s="10">
        <f t="shared" si="14"/>
        <v>-127335.57610241394</v>
      </c>
      <c r="R98" s="13"/>
      <c r="S98" s="10"/>
      <c r="T98" s="10"/>
    </row>
    <row r="99" spans="6:20" x14ac:dyDescent="0.25">
      <c r="F99" s="2">
        <f t="shared" si="19"/>
        <v>9</v>
      </c>
      <c r="G99" s="2">
        <f t="shared" si="20"/>
        <v>1</v>
      </c>
      <c r="H99" s="10"/>
      <c r="I99" s="11"/>
      <c r="J99" s="10"/>
      <c r="K99" s="10"/>
      <c r="L99" s="11"/>
      <c r="M99" s="11">
        <f t="shared" si="15"/>
        <v>148244.5867352791</v>
      </c>
      <c r="N99" s="11">
        <f t="shared" si="16"/>
        <v>-995.91047385192564</v>
      </c>
      <c r="O99" s="11">
        <f t="shared" si="17"/>
        <v>995.91047385192564</v>
      </c>
      <c r="P99" s="12">
        <f t="shared" si="18"/>
        <v>0</v>
      </c>
      <c r="Q99" s="10">
        <f t="shared" si="14"/>
        <v>-127335.57610241394</v>
      </c>
      <c r="R99" s="13"/>
      <c r="S99" s="10"/>
      <c r="T99" s="10"/>
    </row>
    <row r="100" spans="6:20" x14ac:dyDescent="0.25">
      <c r="F100" s="2">
        <f t="shared" si="19"/>
        <v>9</v>
      </c>
      <c r="G100" s="2">
        <f t="shared" si="20"/>
        <v>2</v>
      </c>
      <c r="H100" s="10"/>
      <c r="I100" s="11"/>
      <c r="J100" s="10"/>
      <c r="K100" s="10"/>
      <c r="L100" s="11"/>
      <c r="M100" s="11">
        <f t="shared" si="15"/>
        <v>148848.55353189443</v>
      </c>
      <c r="N100" s="11">
        <f t="shared" si="16"/>
        <v>-995.91047385192564</v>
      </c>
      <c r="O100" s="11">
        <f t="shared" si="17"/>
        <v>995.91047385192564</v>
      </c>
      <c r="P100" s="12">
        <f t="shared" si="18"/>
        <v>0</v>
      </c>
      <c r="Q100" s="10">
        <f t="shared" si="14"/>
        <v>-127335.57610241394</v>
      </c>
      <c r="R100" s="13"/>
      <c r="S100" s="10"/>
      <c r="T100" s="10"/>
    </row>
    <row r="101" spans="6:20" x14ac:dyDescent="0.25">
      <c r="F101" s="2">
        <f t="shared" si="19"/>
        <v>9</v>
      </c>
      <c r="G101" s="2">
        <f t="shared" si="20"/>
        <v>3</v>
      </c>
      <c r="H101" s="10"/>
      <c r="I101" s="11"/>
      <c r="J101" s="10"/>
      <c r="K101" s="10"/>
      <c r="L101" s="11"/>
      <c r="M101" s="11">
        <f t="shared" si="15"/>
        <v>149454.98096400037</v>
      </c>
      <c r="N101" s="11">
        <f t="shared" si="16"/>
        <v>-995.91047385192564</v>
      </c>
      <c r="O101" s="11">
        <f t="shared" si="17"/>
        <v>995.91047385192564</v>
      </c>
      <c r="P101" s="12">
        <f t="shared" si="18"/>
        <v>0</v>
      </c>
      <c r="Q101" s="10">
        <f t="shared" si="14"/>
        <v>-127335.57610241394</v>
      </c>
      <c r="R101" s="13"/>
      <c r="S101" s="10"/>
      <c r="T101" s="10"/>
    </row>
    <row r="102" spans="6:20" x14ac:dyDescent="0.25">
      <c r="F102" s="2">
        <f t="shared" si="19"/>
        <v>9</v>
      </c>
      <c r="G102" s="2">
        <f t="shared" si="20"/>
        <v>4</v>
      </c>
      <c r="H102" s="10"/>
      <c r="I102" s="11"/>
      <c r="J102" s="10"/>
      <c r="K102" s="10"/>
      <c r="L102" s="11"/>
      <c r="M102" s="11">
        <f t="shared" si="15"/>
        <v>150063.87905653051</v>
      </c>
      <c r="N102" s="11">
        <f t="shared" si="16"/>
        <v>-995.91047385192564</v>
      </c>
      <c r="O102" s="11">
        <f t="shared" si="17"/>
        <v>995.91047385192564</v>
      </c>
      <c r="P102" s="12">
        <f t="shared" si="18"/>
        <v>0</v>
      </c>
      <c r="Q102" s="10">
        <f t="shared" si="14"/>
        <v>-127335.57610241394</v>
      </c>
      <c r="R102" s="13"/>
      <c r="S102" s="10"/>
      <c r="T102" s="10"/>
    </row>
    <row r="103" spans="6:20" x14ac:dyDescent="0.25">
      <c r="F103" s="2">
        <f t="shared" si="19"/>
        <v>9</v>
      </c>
      <c r="G103" s="2">
        <f t="shared" si="20"/>
        <v>5</v>
      </c>
      <c r="H103" s="10"/>
      <c r="I103" s="11"/>
      <c r="J103" s="10"/>
      <c r="K103" s="10"/>
      <c r="L103" s="11"/>
      <c r="M103" s="11">
        <f t="shared" si="15"/>
        <v>150675.25787526125</v>
      </c>
      <c r="N103" s="11">
        <f t="shared" si="16"/>
        <v>-995.91047385192564</v>
      </c>
      <c r="O103" s="11">
        <f t="shared" si="17"/>
        <v>995.91047385192564</v>
      </c>
      <c r="P103" s="12">
        <f t="shared" si="18"/>
        <v>0</v>
      </c>
      <c r="Q103" s="10">
        <f t="shared" si="14"/>
        <v>-127335.57610241394</v>
      </c>
      <c r="R103" s="13"/>
      <c r="S103" s="10"/>
      <c r="T103" s="10"/>
    </row>
    <row r="104" spans="6:20" x14ac:dyDescent="0.25">
      <c r="F104" s="2">
        <f t="shared" si="19"/>
        <v>9</v>
      </c>
      <c r="G104" s="2">
        <f t="shared" si="20"/>
        <v>6</v>
      </c>
      <c r="H104" s="10"/>
      <c r="I104" s="11"/>
      <c r="J104" s="10"/>
      <c r="K104" s="10"/>
      <c r="L104" s="11"/>
      <c r="M104" s="11">
        <f t="shared" si="15"/>
        <v>151289.12752697821</v>
      </c>
      <c r="N104" s="11">
        <f t="shared" si="16"/>
        <v>-995.91047385192564</v>
      </c>
      <c r="O104" s="11">
        <f t="shared" si="17"/>
        <v>995.91047385192564</v>
      </c>
      <c r="P104" s="12">
        <f t="shared" si="18"/>
        <v>0</v>
      </c>
      <c r="Q104" s="10">
        <f t="shared" si="14"/>
        <v>-127335.57610241394</v>
      </c>
      <c r="R104" s="13"/>
      <c r="S104" s="10"/>
      <c r="T104" s="10"/>
    </row>
    <row r="105" spans="6:20" x14ac:dyDescent="0.25">
      <c r="F105" s="2">
        <f t="shared" si="19"/>
        <v>9</v>
      </c>
      <c r="G105" s="2">
        <f t="shared" si="20"/>
        <v>7</v>
      </c>
      <c r="H105" s="10"/>
      <c r="I105" s="11"/>
      <c r="J105" s="10"/>
      <c r="K105" s="10"/>
      <c r="L105" s="11"/>
      <c r="M105" s="11">
        <f t="shared" si="15"/>
        <v>151905.49815964326</v>
      </c>
      <c r="N105" s="11">
        <f t="shared" si="16"/>
        <v>-995.91047385192564</v>
      </c>
      <c r="O105" s="11">
        <f t="shared" si="17"/>
        <v>995.91047385192564</v>
      </c>
      <c r="P105" s="12">
        <f t="shared" si="18"/>
        <v>0</v>
      </c>
      <c r="Q105" s="10">
        <f t="shared" si="14"/>
        <v>-127335.57610241394</v>
      </c>
      <c r="R105" s="13"/>
      <c r="S105" s="10"/>
      <c r="T105" s="10"/>
    </row>
    <row r="106" spans="6:20" x14ac:dyDescent="0.25">
      <c r="F106" s="2">
        <f t="shared" si="19"/>
        <v>9</v>
      </c>
      <c r="G106" s="2">
        <f t="shared" si="20"/>
        <v>8</v>
      </c>
      <c r="H106" s="10"/>
      <c r="I106" s="11"/>
      <c r="J106" s="10"/>
      <c r="K106" s="10"/>
      <c r="L106" s="11"/>
      <c r="M106" s="11">
        <f t="shared" si="15"/>
        <v>152524.37996256241</v>
      </c>
      <c r="N106" s="11">
        <f t="shared" si="16"/>
        <v>-995.91047385192564</v>
      </c>
      <c r="O106" s="11">
        <f t="shared" si="17"/>
        <v>995.91047385192564</v>
      </c>
      <c r="P106" s="12">
        <f t="shared" si="18"/>
        <v>0</v>
      </c>
      <c r="Q106" s="10">
        <f t="shared" si="14"/>
        <v>-127335.57610241394</v>
      </c>
      <c r="R106" s="13"/>
      <c r="S106" s="10"/>
      <c r="T106" s="10"/>
    </row>
    <row r="107" spans="6:20" x14ac:dyDescent="0.25">
      <c r="F107" s="2">
        <f t="shared" si="19"/>
        <v>9</v>
      </c>
      <c r="G107" s="2">
        <f t="shared" si="20"/>
        <v>9</v>
      </c>
      <c r="H107" s="10"/>
      <c r="I107" s="11"/>
      <c r="J107" s="10"/>
      <c r="K107" s="10"/>
      <c r="L107" s="11"/>
      <c r="M107" s="11">
        <f t="shared" si="15"/>
        <v>153145.78316655412</v>
      </c>
      <c r="N107" s="11">
        <f t="shared" si="16"/>
        <v>-995.91047385192564</v>
      </c>
      <c r="O107" s="11">
        <f t="shared" si="17"/>
        <v>995.91047385192564</v>
      </c>
      <c r="P107" s="12">
        <f t="shared" si="18"/>
        <v>0</v>
      </c>
      <c r="Q107" s="10">
        <f t="shared" si="14"/>
        <v>-127335.57610241394</v>
      </c>
      <c r="R107" s="13"/>
      <c r="S107" s="10"/>
      <c r="T107" s="10"/>
    </row>
    <row r="108" spans="6:20" x14ac:dyDescent="0.25">
      <c r="F108" s="2">
        <f t="shared" si="19"/>
        <v>9</v>
      </c>
      <c r="G108" s="2">
        <f t="shared" si="20"/>
        <v>10</v>
      </c>
      <c r="H108" s="10"/>
      <c r="I108" s="11"/>
      <c r="J108" s="10"/>
      <c r="K108" s="10"/>
      <c r="L108" s="11"/>
      <c r="M108" s="11">
        <f t="shared" si="15"/>
        <v>153769.71804411843</v>
      </c>
      <c r="N108" s="11">
        <f t="shared" si="16"/>
        <v>-995.91047385192564</v>
      </c>
      <c r="O108" s="11">
        <f t="shared" si="17"/>
        <v>995.91047385192564</v>
      </c>
      <c r="P108" s="12">
        <f t="shared" si="18"/>
        <v>0</v>
      </c>
      <c r="Q108" s="10">
        <f t="shared" si="14"/>
        <v>-127335.57610241394</v>
      </c>
      <c r="R108" s="13"/>
      <c r="S108" s="10"/>
      <c r="T108" s="10"/>
    </row>
    <row r="109" spans="6:20" x14ac:dyDescent="0.25">
      <c r="F109" s="2">
        <f t="shared" si="19"/>
        <v>9</v>
      </c>
      <c r="G109" s="2">
        <f t="shared" si="20"/>
        <v>11</v>
      </c>
      <c r="H109" s="10"/>
      <c r="I109" s="11"/>
      <c r="J109" s="10"/>
      <c r="K109" s="10"/>
      <c r="L109" s="11"/>
      <c r="M109" s="11">
        <f t="shared" si="15"/>
        <v>154396.19490960689</v>
      </c>
      <c r="N109" s="11">
        <f t="shared" si="16"/>
        <v>-995.91047385192564</v>
      </c>
      <c r="O109" s="11">
        <f t="shared" si="17"/>
        <v>995.91047385192564</v>
      </c>
      <c r="P109" s="12">
        <f t="shared" si="18"/>
        <v>0</v>
      </c>
      <c r="Q109" s="10">
        <f t="shared" si="14"/>
        <v>-127335.57610241394</v>
      </c>
      <c r="R109" s="13"/>
      <c r="S109" s="10"/>
      <c r="T109" s="10"/>
    </row>
    <row r="110" spans="6:20" x14ac:dyDescent="0.25">
      <c r="F110" s="2">
        <f t="shared" si="19"/>
        <v>9</v>
      </c>
      <c r="G110" s="2">
        <f t="shared" si="20"/>
        <v>12</v>
      </c>
      <c r="H110" s="10"/>
      <c r="I110" s="11"/>
      <c r="J110" s="10"/>
      <c r="K110" s="10"/>
      <c r="L110" s="11"/>
      <c r="M110" s="11">
        <f t="shared" si="15"/>
        <v>155025.22411939292</v>
      </c>
      <c r="N110" s="11">
        <f t="shared" si="16"/>
        <v>-995.91047385192564</v>
      </c>
      <c r="O110" s="11">
        <f t="shared" si="17"/>
        <v>995.91047385192564</v>
      </c>
      <c r="P110" s="12">
        <f t="shared" si="18"/>
        <v>0</v>
      </c>
      <c r="Q110" s="10">
        <f t="shared" si="14"/>
        <v>-127335.57610241394</v>
      </c>
      <c r="R110" s="13"/>
      <c r="S110" s="10"/>
      <c r="T110" s="10"/>
    </row>
    <row r="111" spans="6:20" x14ac:dyDescent="0.25">
      <c r="F111" s="2">
        <f t="shared" si="19"/>
        <v>10</v>
      </c>
      <c r="G111" s="2">
        <f t="shared" si="20"/>
        <v>1</v>
      </c>
      <c r="H111" s="10"/>
      <c r="I111" s="11"/>
      <c r="J111" s="10"/>
      <c r="K111" s="10"/>
      <c r="L111" s="11"/>
      <c r="M111" s="11">
        <f t="shared" si="15"/>
        <v>155656.81607204315</v>
      </c>
      <c r="N111" s="11">
        <f t="shared" si="16"/>
        <v>-1015.8286833289642</v>
      </c>
      <c r="O111" s="11">
        <f t="shared" si="17"/>
        <v>1015.8286833289642</v>
      </c>
      <c r="P111" s="12">
        <f t="shared" si="18"/>
        <v>0</v>
      </c>
      <c r="Q111" s="10">
        <f t="shared" si="14"/>
        <v>-127335.57610241394</v>
      </c>
      <c r="R111" s="13"/>
      <c r="S111" s="10"/>
      <c r="T111" s="10"/>
    </row>
    <row r="112" spans="6:20" x14ac:dyDescent="0.25">
      <c r="F112" s="2">
        <f t="shared" si="19"/>
        <v>10</v>
      </c>
      <c r="G112" s="2">
        <f t="shared" si="20"/>
        <v>2</v>
      </c>
      <c r="H112" s="10"/>
      <c r="I112" s="11"/>
      <c r="J112" s="10"/>
      <c r="K112" s="10"/>
      <c r="L112" s="11"/>
      <c r="M112" s="11">
        <f t="shared" si="15"/>
        <v>156290.98120848925</v>
      </c>
      <c r="N112" s="11">
        <f t="shared" si="16"/>
        <v>-1015.8286833289642</v>
      </c>
      <c r="O112" s="11">
        <f t="shared" si="17"/>
        <v>1015.8286833289642</v>
      </c>
      <c r="P112" s="12">
        <f t="shared" si="18"/>
        <v>0</v>
      </c>
      <c r="Q112" s="10">
        <f t="shared" si="14"/>
        <v>-127335.57610241394</v>
      </c>
      <c r="R112" s="13"/>
      <c r="S112" s="10"/>
      <c r="T112" s="10"/>
    </row>
    <row r="113" spans="6:20" x14ac:dyDescent="0.25">
      <c r="F113" s="2">
        <f t="shared" si="19"/>
        <v>10</v>
      </c>
      <c r="G113" s="2">
        <f t="shared" si="20"/>
        <v>3</v>
      </c>
      <c r="H113" s="10"/>
      <c r="I113" s="11"/>
      <c r="J113" s="10"/>
      <c r="K113" s="10"/>
      <c r="L113" s="11"/>
      <c r="M113" s="11">
        <f t="shared" si="15"/>
        <v>156927.73001220048</v>
      </c>
      <c r="N113" s="11">
        <f t="shared" si="16"/>
        <v>-1015.8286833289642</v>
      </c>
      <c r="O113" s="11">
        <f t="shared" si="17"/>
        <v>1015.8286833289642</v>
      </c>
      <c r="P113" s="12">
        <f t="shared" si="18"/>
        <v>0</v>
      </c>
      <c r="Q113" s="10">
        <f t="shared" si="14"/>
        <v>-127335.57610241394</v>
      </c>
      <c r="R113" s="13"/>
      <c r="S113" s="10"/>
      <c r="T113" s="10"/>
    </row>
    <row r="114" spans="6:20" x14ac:dyDescent="0.25">
      <c r="F114" s="2">
        <f t="shared" si="19"/>
        <v>10</v>
      </c>
      <c r="G114" s="2">
        <f t="shared" si="20"/>
        <v>4</v>
      </c>
      <c r="H114" s="10"/>
      <c r="I114" s="11"/>
      <c r="J114" s="10"/>
      <c r="K114" s="10"/>
      <c r="L114" s="11"/>
      <c r="M114" s="11">
        <f t="shared" si="15"/>
        <v>157567.07300935715</v>
      </c>
      <c r="N114" s="11">
        <f t="shared" si="16"/>
        <v>-1015.8286833289642</v>
      </c>
      <c r="O114" s="11">
        <f t="shared" si="17"/>
        <v>1015.8286833289642</v>
      </c>
      <c r="P114" s="12">
        <f t="shared" si="18"/>
        <v>0</v>
      </c>
      <c r="Q114" s="10">
        <f t="shared" si="14"/>
        <v>-127335.57610241394</v>
      </c>
      <c r="R114" s="13"/>
      <c r="S114" s="10"/>
      <c r="T114" s="10"/>
    </row>
    <row r="115" spans="6:20" x14ac:dyDescent="0.25">
      <c r="F115" s="2">
        <f t="shared" si="19"/>
        <v>10</v>
      </c>
      <c r="G115" s="2">
        <f t="shared" si="20"/>
        <v>5</v>
      </c>
      <c r="H115" s="10"/>
      <c r="I115" s="11"/>
      <c r="J115" s="10"/>
      <c r="K115" s="10"/>
      <c r="L115" s="11"/>
      <c r="M115" s="11">
        <f t="shared" si="15"/>
        <v>158209.02076902441</v>
      </c>
      <c r="N115" s="11">
        <f t="shared" si="16"/>
        <v>-1015.8286833289642</v>
      </c>
      <c r="O115" s="11">
        <f t="shared" si="17"/>
        <v>1015.8286833289642</v>
      </c>
      <c r="P115" s="12">
        <f t="shared" si="18"/>
        <v>0</v>
      </c>
      <c r="Q115" s="10">
        <f t="shared" si="14"/>
        <v>-127335.57610241394</v>
      </c>
      <c r="R115" s="13"/>
      <c r="S115" s="10"/>
      <c r="T115" s="10"/>
    </row>
    <row r="116" spans="6:20" x14ac:dyDescent="0.25">
      <c r="F116" s="2">
        <f t="shared" si="19"/>
        <v>10</v>
      </c>
      <c r="G116" s="2">
        <f t="shared" si="20"/>
        <v>6</v>
      </c>
      <c r="H116" s="10"/>
      <c r="I116" s="11"/>
      <c r="J116" s="10"/>
      <c r="K116" s="10"/>
      <c r="L116" s="11"/>
      <c r="M116" s="11">
        <f t="shared" si="15"/>
        <v>158853.58390332721</v>
      </c>
      <c r="N116" s="11">
        <f t="shared" si="16"/>
        <v>-1015.8286833289642</v>
      </c>
      <c r="O116" s="11">
        <f t="shared" si="17"/>
        <v>1015.8286833289642</v>
      </c>
      <c r="P116" s="12">
        <f t="shared" si="18"/>
        <v>0</v>
      </c>
      <c r="Q116" s="10">
        <f t="shared" si="14"/>
        <v>-127335.57610241394</v>
      </c>
      <c r="R116" s="13"/>
      <c r="S116" s="10"/>
      <c r="T116" s="10"/>
    </row>
    <row r="117" spans="6:20" x14ac:dyDescent="0.25">
      <c r="F117" s="2">
        <f t="shared" si="19"/>
        <v>10</v>
      </c>
      <c r="G117" s="2">
        <f t="shared" si="20"/>
        <v>7</v>
      </c>
      <c r="H117" s="10"/>
      <c r="I117" s="11"/>
      <c r="J117" s="10"/>
      <c r="K117" s="10"/>
      <c r="L117" s="11"/>
      <c r="M117" s="11">
        <f t="shared" si="15"/>
        <v>159500.77306762553</v>
      </c>
      <c r="N117" s="11">
        <f t="shared" si="16"/>
        <v>-1015.8286833289642</v>
      </c>
      <c r="O117" s="11">
        <f t="shared" si="17"/>
        <v>1015.8286833289642</v>
      </c>
      <c r="P117" s="12">
        <f t="shared" si="18"/>
        <v>0</v>
      </c>
      <c r="Q117" s="10">
        <f t="shared" si="14"/>
        <v>-127335.57610241394</v>
      </c>
      <c r="R117" s="13"/>
      <c r="S117" s="10"/>
      <c r="T117" s="10"/>
    </row>
    <row r="118" spans="6:20" x14ac:dyDescent="0.25">
      <c r="F118" s="2">
        <f t="shared" si="19"/>
        <v>10</v>
      </c>
      <c r="G118" s="2">
        <f t="shared" si="20"/>
        <v>8</v>
      </c>
      <c r="H118" s="10"/>
      <c r="I118" s="11"/>
      <c r="J118" s="10"/>
      <c r="K118" s="10"/>
      <c r="L118" s="11"/>
      <c r="M118" s="11">
        <f t="shared" si="15"/>
        <v>160150.59896069064</v>
      </c>
      <c r="N118" s="11">
        <f t="shared" si="16"/>
        <v>-1015.8286833289642</v>
      </c>
      <c r="O118" s="11">
        <f t="shared" si="17"/>
        <v>1015.8286833289642</v>
      </c>
      <c r="P118" s="12">
        <f t="shared" si="18"/>
        <v>0</v>
      </c>
      <c r="Q118" s="10">
        <f t="shared" si="14"/>
        <v>-127335.57610241394</v>
      </c>
      <c r="R118" s="13"/>
      <c r="S118" s="10"/>
      <c r="T118" s="10"/>
    </row>
    <row r="119" spans="6:20" x14ac:dyDescent="0.25">
      <c r="F119" s="2">
        <f t="shared" si="19"/>
        <v>10</v>
      </c>
      <c r="G119" s="2">
        <f t="shared" si="20"/>
        <v>9</v>
      </c>
      <c r="H119" s="10"/>
      <c r="I119" s="11"/>
      <c r="J119" s="10"/>
      <c r="K119" s="10"/>
      <c r="L119" s="11"/>
      <c r="M119" s="11">
        <f t="shared" si="15"/>
        <v>160803.07232488191</v>
      </c>
      <c r="N119" s="11">
        <f t="shared" si="16"/>
        <v>-1015.8286833289642</v>
      </c>
      <c r="O119" s="11">
        <f t="shared" si="17"/>
        <v>1015.8286833289642</v>
      </c>
      <c r="P119" s="12">
        <f t="shared" si="18"/>
        <v>0</v>
      </c>
      <c r="Q119" s="10">
        <f t="shared" si="14"/>
        <v>-127335.57610241394</v>
      </c>
      <c r="R119" s="13"/>
      <c r="S119" s="10"/>
      <c r="T119" s="10"/>
    </row>
    <row r="120" spans="6:20" x14ac:dyDescent="0.25">
      <c r="F120" s="2">
        <f t="shared" si="19"/>
        <v>10</v>
      </c>
      <c r="G120" s="2">
        <f t="shared" si="20"/>
        <v>10</v>
      </c>
      <c r="H120" s="10"/>
      <c r="I120" s="11"/>
      <c r="J120" s="10"/>
      <c r="K120" s="10"/>
      <c r="L120" s="11"/>
      <c r="M120" s="11">
        <f t="shared" si="15"/>
        <v>161458.20394632444</v>
      </c>
      <c r="N120" s="11">
        <f t="shared" si="16"/>
        <v>-1015.8286833289642</v>
      </c>
      <c r="O120" s="11">
        <f t="shared" si="17"/>
        <v>1015.8286833289642</v>
      </c>
      <c r="P120" s="12">
        <f t="shared" si="18"/>
        <v>0</v>
      </c>
      <c r="Q120" s="10">
        <f t="shared" si="14"/>
        <v>-127335.57610241394</v>
      </c>
      <c r="R120" s="13"/>
      <c r="S120" s="10"/>
      <c r="T120" s="10"/>
    </row>
    <row r="121" spans="6:20" x14ac:dyDescent="0.25">
      <c r="F121" s="2">
        <f t="shared" si="19"/>
        <v>10</v>
      </c>
      <c r="G121" s="2">
        <f t="shared" si="20"/>
        <v>11</v>
      </c>
      <c r="H121" s="10"/>
      <c r="I121" s="11"/>
      <c r="J121" s="10"/>
      <c r="K121" s="10"/>
      <c r="L121" s="11"/>
      <c r="M121" s="11">
        <f t="shared" si="15"/>
        <v>162116.00465508731</v>
      </c>
      <c r="N121" s="11">
        <f t="shared" si="16"/>
        <v>-1015.8286833289642</v>
      </c>
      <c r="O121" s="11">
        <f t="shared" si="17"/>
        <v>1015.8286833289642</v>
      </c>
      <c r="P121" s="12">
        <f t="shared" si="18"/>
        <v>0</v>
      </c>
      <c r="Q121" s="10">
        <f t="shared" si="14"/>
        <v>-127335.57610241394</v>
      </c>
      <c r="R121" s="13"/>
      <c r="S121" s="10"/>
      <c r="T121" s="10"/>
    </row>
    <row r="122" spans="6:20" x14ac:dyDescent="0.25">
      <c r="F122" s="2">
        <f t="shared" si="19"/>
        <v>10</v>
      </c>
      <c r="G122" s="2">
        <f t="shared" si="20"/>
        <v>12</v>
      </c>
      <c r="H122" s="10"/>
      <c r="I122" s="11"/>
      <c r="J122" s="10"/>
      <c r="K122" s="10"/>
      <c r="L122" s="11"/>
      <c r="M122" s="11">
        <f t="shared" si="15"/>
        <v>162776.48532536265</v>
      </c>
      <c r="N122" s="11">
        <f t="shared" si="16"/>
        <v>-1015.8286833289642</v>
      </c>
      <c r="O122" s="11">
        <f t="shared" si="17"/>
        <v>1015.8286833289642</v>
      </c>
      <c r="P122" s="10">
        <f>L122+H122+N122+O122+(M122-$C$30)*(1-$C$33)+$C$30</f>
        <v>153967.27287856958</v>
      </c>
      <c r="Q122" s="10">
        <f t="shared" si="14"/>
        <v>26631.696776155644</v>
      </c>
      <c r="R122" s="13"/>
      <c r="S122" s="10"/>
      <c r="T122" s="10"/>
    </row>
    <row r="123" spans="6:20" x14ac:dyDescent="0.25">
      <c r="F123" s="2"/>
      <c r="G123" s="2"/>
      <c r="H123" s="10"/>
      <c r="I123" s="11"/>
      <c r="J123" s="10"/>
      <c r="K123" s="10"/>
      <c r="L123" s="11"/>
      <c r="M123" s="11"/>
      <c r="N123" s="11"/>
      <c r="O123" s="11"/>
      <c r="P123" s="12"/>
      <c r="Q123" s="10"/>
      <c r="R123" s="13"/>
      <c r="S123" s="10"/>
      <c r="T123" s="10"/>
    </row>
    <row r="124" spans="6:20" x14ac:dyDescent="0.25">
      <c r="F124" s="2"/>
      <c r="G124" s="2"/>
      <c r="H124" s="10"/>
      <c r="I124" s="11"/>
      <c r="J124" s="10"/>
      <c r="K124" s="10"/>
      <c r="L124" s="11"/>
      <c r="M124" s="11"/>
      <c r="N124" s="11"/>
      <c r="O124" s="11"/>
      <c r="P124" s="12"/>
      <c r="Q124" s="10"/>
      <c r="R124" s="13"/>
      <c r="S124" s="10"/>
      <c r="T124" s="10"/>
    </row>
    <row r="125" spans="6:20" x14ac:dyDescent="0.25">
      <c r="F125" s="2"/>
      <c r="G125" t="s">
        <v>42</v>
      </c>
      <c r="H125" s="10"/>
      <c r="I125" s="11"/>
      <c r="J125" s="10"/>
      <c r="K125" s="10"/>
      <c r="L125" s="11"/>
      <c r="M125" s="11"/>
      <c r="N125" s="11"/>
      <c r="O125" s="11"/>
      <c r="P125" s="12"/>
      <c r="Q125" s="10"/>
      <c r="R125" s="13"/>
      <c r="S125" s="10"/>
      <c r="T125" s="10"/>
    </row>
    <row r="126" spans="6:20" x14ac:dyDescent="0.25">
      <c r="F126" s="2"/>
      <c r="G126" s="15">
        <f>NPV(4%,G129:G139)</f>
        <v>-19582.967864544873</v>
      </c>
      <c r="H126" s="10">
        <v>-124495.90263716056</v>
      </c>
      <c r="I126" s="11"/>
      <c r="J126" s="10"/>
      <c r="K126" s="10"/>
      <c r="L126" s="11"/>
      <c r="M126" s="11"/>
      <c r="N126" s="11"/>
      <c r="O126" s="11"/>
      <c r="P126" s="12"/>
      <c r="Q126" s="10"/>
      <c r="R126" s="13"/>
      <c r="S126" s="10"/>
      <c r="T126" s="10"/>
    </row>
    <row r="127" spans="6:20" x14ac:dyDescent="0.25">
      <c r="F127" s="2"/>
      <c r="H127" s="10"/>
      <c r="I127" s="11"/>
      <c r="J127" s="10"/>
      <c r="K127" s="10"/>
      <c r="L127" s="11"/>
      <c r="M127" s="11"/>
      <c r="N127" s="11"/>
      <c r="O127" s="11"/>
      <c r="P127" s="12"/>
      <c r="Q127" s="10"/>
      <c r="R127" s="13"/>
      <c r="S127" s="10"/>
      <c r="T127" s="10"/>
    </row>
    <row r="128" spans="6:20" x14ac:dyDescent="0.25">
      <c r="F128" s="2" t="s">
        <v>0</v>
      </c>
      <c r="G128" s="2" t="s">
        <v>48</v>
      </c>
      <c r="H128" s="10"/>
      <c r="I128" s="11"/>
      <c r="J128" s="10"/>
      <c r="K128" s="10"/>
      <c r="L128" s="11"/>
      <c r="M128" s="11"/>
      <c r="N128" s="11"/>
      <c r="O128" s="11"/>
      <c r="P128" s="12"/>
      <c r="Q128" s="10"/>
      <c r="R128" s="13"/>
      <c r="S128" s="10"/>
      <c r="T128" s="10"/>
    </row>
    <row r="129" spans="6:20" x14ac:dyDescent="0.25">
      <c r="F129" s="2">
        <v>0</v>
      </c>
      <c r="G129" s="2">
        <f>SUMIFS($P$2:$P$122,$F$2:$F$122,F129)</f>
        <v>-100000</v>
      </c>
      <c r="H129" s="10"/>
      <c r="I129" s="11"/>
      <c r="J129" s="10"/>
      <c r="K129" s="10"/>
      <c r="L129" s="11"/>
      <c r="M129" s="11"/>
      <c r="N129" s="11"/>
      <c r="O129" s="11"/>
      <c r="P129" s="12"/>
      <c r="Q129" s="10"/>
      <c r="R129" s="13"/>
      <c r="S129" s="10"/>
      <c r="T129" s="10"/>
    </row>
    <row r="130" spans="6:20" x14ac:dyDescent="0.25">
      <c r="F130" s="2">
        <f>F129+1</f>
        <v>1</v>
      </c>
      <c r="G130" s="21">
        <f t="shared" ref="G130:G139" si="21">SUMIFS($P$2:$P$122,$F$2:$F$122,F130)</f>
        <v>-5708.2738787952439</v>
      </c>
      <c r="H130" s="10"/>
      <c r="I130" s="11"/>
      <c r="J130" s="10"/>
      <c r="K130" s="10"/>
      <c r="L130" s="11"/>
      <c r="M130" s="11"/>
      <c r="N130" s="11"/>
      <c r="O130" s="11"/>
      <c r="P130" s="12"/>
      <c r="Q130" s="10"/>
      <c r="R130" s="13"/>
      <c r="S130" s="10"/>
      <c r="T130" s="10"/>
    </row>
    <row r="131" spans="6:20" x14ac:dyDescent="0.25">
      <c r="F131" s="2">
        <f t="shared" ref="F131:F139" si="22">F130+1</f>
        <v>2</v>
      </c>
      <c r="G131" s="21">
        <f t="shared" si="21"/>
        <v>-5589.7738787952439</v>
      </c>
      <c r="H131" s="10"/>
      <c r="I131" s="11"/>
      <c r="J131" s="10"/>
      <c r="K131" s="10"/>
      <c r="L131" s="11"/>
      <c r="M131" s="11"/>
      <c r="N131" s="11"/>
      <c r="O131" s="11"/>
      <c r="P131" s="12"/>
      <c r="Q131" s="10"/>
      <c r="R131" s="13"/>
      <c r="S131" s="10"/>
      <c r="T131" s="10"/>
    </row>
    <row r="132" spans="6:20" x14ac:dyDescent="0.25">
      <c r="F132" s="2">
        <f t="shared" si="22"/>
        <v>3</v>
      </c>
      <c r="G132" s="21">
        <f t="shared" si="21"/>
        <v>-5469.2113787952476</v>
      </c>
      <c r="H132" s="10"/>
      <c r="I132" s="11"/>
      <c r="J132" s="10"/>
      <c r="K132" s="10"/>
      <c r="L132" s="11"/>
      <c r="M132" s="11"/>
      <c r="N132" s="11"/>
      <c r="O132" s="11"/>
      <c r="P132" s="12"/>
      <c r="Q132" s="10"/>
      <c r="R132" s="13"/>
      <c r="S132" s="10"/>
      <c r="T132" s="10"/>
    </row>
    <row r="133" spans="6:20" x14ac:dyDescent="0.25">
      <c r="F133" s="2">
        <f t="shared" si="22"/>
        <v>4</v>
      </c>
      <c r="G133" s="21">
        <f t="shared" si="21"/>
        <v>-5346.5528162952469</v>
      </c>
    </row>
    <row r="134" spans="6:20" x14ac:dyDescent="0.25">
      <c r="F134" s="2">
        <f t="shared" si="22"/>
        <v>5</v>
      </c>
      <c r="G134" s="21">
        <f t="shared" si="21"/>
        <v>-5221.7641497327468</v>
      </c>
    </row>
    <row r="135" spans="6:20" x14ac:dyDescent="0.25">
      <c r="F135" s="2">
        <f t="shared" si="22"/>
        <v>6</v>
      </c>
      <c r="G135" s="21">
        <f t="shared" si="21"/>
        <v>0</v>
      </c>
    </row>
    <row r="136" spans="6:20" x14ac:dyDescent="0.25">
      <c r="F136" s="2">
        <f t="shared" si="22"/>
        <v>7</v>
      </c>
      <c r="G136" s="21">
        <f t="shared" si="21"/>
        <v>0</v>
      </c>
    </row>
    <row r="137" spans="6:20" x14ac:dyDescent="0.25">
      <c r="F137" s="2">
        <f t="shared" si="22"/>
        <v>8</v>
      </c>
      <c r="G137" s="21">
        <f t="shared" si="21"/>
        <v>0</v>
      </c>
    </row>
    <row r="138" spans="6:20" x14ac:dyDescent="0.25">
      <c r="F138" s="2">
        <f t="shared" si="22"/>
        <v>9</v>
      </c>
      <c r="G138" s="21">
        <f t="shared" si="21"/>
        <v>0</v>
      </c>
    </row>
    <row r="139" spans="6:20" x14ac:dyDescent="0.25">
      <c r="F139" s="2">
        <f t="shared" si="22"/>
        <v>10</v>
      </c>
      <c r="G139" s="21">
        <f t="shared" si="21"/>
        <v>153967.27287856958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7175-133B-4281-8D32-50BB37B3FA0E}">
  <dimension ref="B1:AF242"/>
  <sheetViews>
    <sheetView workbookViewId="0">
      <pane ySplit="1" topLeftCell="A46" activePane="bottomLeft" state="frozen"/>
      <selection pane="bottomLeft" activeCell="H70" sqref="H70"/>
    </sheetView>
  </sheetViews>
  <sheetFormatPr defaultRowHeight="15" x14ac:dyDescent="0.25"/>
  <cols>
    <col min="2" max="2" width="21.85546875" bestFit="1" customWidth="1"/>
    <col min="3" max="3" width="12" bestFit="1" customWidth="1"/>
    <col min="4" max="4" width="11.7109375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8" max="18" width="12.85546875" customWidth="1"/>
    <col min="24" max="24" width="20" customWidth="1"/>
    <col min="27" max="27" width="27.140625" customWidth="1"/>
  </cols>
  <sheetData>
    <row r="1" spans="2:32" x14ac:dyDescent="0.25">
      <c r="F1" t="s">
        <v>0</v>
      </c>
      <c r="G1" t="s">
        <v>17</v>
      </c>
      <c r="H1" t="s">
        <v>4</v>
      </c>
      <c r="I1" t="s">
        <v>5</v>
      </c>
      <c r="J1" t="s">
        <v>6</v>
      </c>
      <c r="K1" t="s">
        <v>33</v>
      </c>
      <c r="L1" t="s">
        <v>61</v>
      </c>
      <c r="P1" t="s">
        <v>54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AE1" t="s">
        <v>67</v>
      </c>
      <c r="AF1" t="s">
        <v>40</v>
      </c>
    </row>
    <row r="2" spans="2:32" x14ac:dyDescent="0.25">
      <c r="F2">
        <v>0</v>
      </c>
      <c r="G2">
        <v>0</v>
      </c>
      <c r="K2" s="16">
        <f>$C$11</f>
        <v>160000</v>
      </c>
      <c r="Q2" s="16">
        <f>-$C$10</f>
        <v>-100000</v>
      </c>
      <c r="R2" s="17">
        <f>Q2</f>
        <v>-100000</v>
      </c>
    </row>
    <row r="3" spans="2:32" x14ac:dyDescent="0.25">
      <c r="F3" s="2">
        <v>1</v>
      </c>
      <c r="G3" s="2">
        <v>1</v>
      </c>
      <c r="H3" s="10">
        <f t="shared" ref="H3:H66" si="0">-$C$14</f>
        <v>-887.35615656627056</v>
      </c>
      <c r="I3" s="11">
        <f>IF($G3=1,-K2*$D$12,I2)</f>
        <v>-400</v>
      </c>
      <c r="J3" s="10">
        <f>H3-I3</f>
        <v>-487.35615656627056</v>
      </c>
      <c r="K3" s="10">
        <f>K2+J3</f>
        <v>159512.64384343373</v>
      </c>
      <c r="L3" s="11">
        <f>-($C$15/12+$C$16/12+$C$17*$C$11/12+$C$18/12*(1+$C$19)^($F3-1)+$C$20*S3/12)</f>
        <v>-196.66666666666666</v>
      </c>
      <c r="M3" s="11"/>
      <c r="O3" s="11"/>
      <c r="P3" s="11">
        <f>$C$34*(1+$C$35)^($F3-1)</f>
        <v>850</v>
      </c>
      <c r="Q3" s="12">
        <f>L3+H3+O3+P3</f>
        <v>-234.0228232329373</v>
      </c>
      <c r="R3" s="10">
        <f>R2+Q3</f>
        <v>-100234.02282323294</v>
      </c>
      <c r="S3" s="13">
        <f>$C$4*(1+$C$21)^($F3)</f>
        <v>245999.99999999997</v>
      </c>
      <c r="T3" s="10">
        <f>K3</f>
        <v>159512.64384343373</v>
      </c>
      <c r="U3" s="10">
        <f>S3-T3+R3</f>
        <v>-13746.666666666701</v>
      </c>
      <c r="W3" s="2"/>
      <c r="X3" t="s">
        <v>9</v>
      </c>
      <c r="Y3">
        <f>VLOOKUP(X3,$B:$C,2,0)</f>
        <v>240000</v>
      </c>
      <c r="Z3" s="2"/>
      <c r="AA3" s="23" t="s">
        <v>56</v>
      </c>
      <c r="AB3" s="3"/>
      <c r="AC3" s="2"/>
      <c r="AD3" t="str">
        <f>F3&amp;"-"&amp;G3</f>
        <v>1-1</v>
      </c>
      <c r="AE3" s="11">
        <f>-(I3+L3)+AB4</f>
        <v>18596.666666666668</v>
      </c>
      <c r="AF3" s="11">
        <f>P3</f>
        <v>850</v>
      </c>
    </row>
    <row r="4" spans="2:32" x14ac:dyDescent="0.25">
      <c r="B4" t="s">
        <v>9</v>
      </c>
      <c r="C4">
        <v>240000</v>
      </c>
      <c r="F4" s="2">
        <v>1</v>
      </c>
      <c r="G4" s="2">
        <v>2</v>
      </c>
      <c r="H4" s="10">
        <f t="shared" si="0"/>
        <v>-887.35615656627056</v>
      </c>
      <c r="I4" s="11">
        <f>-K3*$D$12</f>
        <v>-398.78160960858435</v>
      </c>
      <c r="J4" s="10">
        <f>H4-I4</f>
        <v>-488.57454695768621</v>
      </c>
      <c r="K4" s="10">
        <f t="shared" ref="K4:K62" si="1">K3+J4</f>
        <v>159024.06929647605</v>
      </c>
      <c r="L4" s="11">
        <f t="shared" ref="L4:L62" si="2">-($C$15/12+$C$17*$C$11/12+$C$18/12*(1+$C$19)^($F4-1)+$C$20*S4/12)</f>
        <v>-196.66666666666666</v>
      </c>
      <c r="M4" s="11"/>
      <c r="N4" s="11"/>
      <c r="O4" s="11"/>
      <c r="P4" s="11">
        <f t="shared" ref="P4:P64" si="3">$C$34*(1+$C$35)^($F4-1)</f>
        <v>850</v>
      </c>
      <c r="Q4" s="12">
        <f t="shared" ref="Q4:Q67" si="4">L4+H4+O4+P4</f>
        <v>-234.0228232329373</v>
      </c>
      <c r="R4" s="10">
        <f>R3+Q4</f>
        <v>-100468.04564646588</v>
      </c>
      <c r="S4" s="13">
        <f t="shared" ref="S4:S62" si="5">$C$4*(1+$C$21)^($F4)</f>
        <v>245999.99999999997</v>
      </c>
      <c r="T4" s="10">
        <f t="shared" ref="T4:T60" si="6">K4</f>
        <v>159024.06929647605</v>
      </c>
      <c r="U4" s="10">
        <f t="shared" ref="U4:U18" si="7">S4-T4+R4</f>
        <v>-13492.11494294196</v>
      </c>
      <c r="W4" s="2"/>
      <c r="X4" t="s">
        <v>10</v>
      </c>
      <c r="Y4" s="7">
        <f t="shared" ref="Y4:Y14" si="8">VLOOKUP(X4,$B:$C,2,0)</f>
        <v>7.4999999999999997E-2</v>
      </c>
      <c r="Z4" s="2"/>
      <c r="AA4" t="s">
        <v>57</v>
      </c>
      <c r="AB4" s="24">
        <f t="shared" ref="AB4:AB6" si="9">VLOOKUP(AA4,$B:$C,2,0)</f>
        <v>18000</v>
      </c>
      <c r="AC4" s="2"/>
      <c r="AD4" t="str">
        <f t="shared" ref="AD4:AD67" si="10">F4&amp;"-"&amp;G4</f>
        <v>1-2</v>
      </c>
      <c r="AE4" s="3">
        <f>AE3-(I4+L4)</f>
        <v>19192.11494294192</v>
      </c>
      <c r="AF4" s="3">
        <f>AF3+P4</f>
        <v>1700</v>
      </c>
    </row>
    <row r="5" spans="2:32" x14ac:dyDescent="0.25">
      <c r="B5" t="s">
        <v>10</v>
      </c>
      <c r="C5" s="7">
        <v>7.4999999999999997E-2</v>
      </c>
      <c r="F5" s="2">
        <v>1</v>
      </c>
      <c r="G5" s="2">
        <v>3</v>
      </c>
      <c r="H5" s="10">
        <f t="shared" si="0"/>
        <v>-887.35615656627056</v>
      </c>
      <c r="I5" s="11">
        <f>-K4*$D$12</f>
        <v>-397.56017324119011</v>
      </c>
      <c r="J5" s="10">
        <f t="shared" ref="J5:J62" si="11">H5-I5</f>
        <v>-489.79598332508044</v>
      </c>
      <c r="K5" s="10">
        <f t="shared" si="1"/>
        <v>158534.27331315097</v>
      </c>
      <c r="L5" s="11">
        <f t="shared" si="2"/>
        <v>-196.66666666666666</v>
      </c>
      <c r="M5" s="11"/>
      <c r="N5" s="11"/>
      <c r="O5" s="11"/>
      <c r="P5" s="11">
        <f t="shared" si="3"/>
        <v>850</v>
      </c>
      <c r="Q5" s="12">
        <f t="shared" si="4"/>
        <v>-234.0228232329373</v>
      </c>
      <c r="R5" s="10">
        <f>R4+Q5</f>
        <v>-100702.06846969882</v>
      </c>
      <c r="S5" s="13">
        <f t="shared" si="5"/>
        <v>245999.99999999997</v>
      </c>
      <c r="T5" s="10">
        <f t="shared" si="6"/>
        <v>158534.27331315097</v>
      </c>
      <c r="U5" s="10">
        <f t="shared" si="7"/>
        <v>-13236.34178284982</v>
      </c>
      <c r="W5" s="2"/>
      <c r="X5" t="s">
        <v>15</v>
      </c>
      <c r="Y5">
        <f t="shared" si="8"/>
        <v>100000</v>
      </c>
      <c r="Z5" s="2"/>
      <c r="AA5" t="s">
        <v>58</v>
      </c>
      <c r="AB5" s="24">
        <f t="shared" si="9"/>
        <v>52965.477575901125</v>
      </c>
      <c r="AC5" s="2"/>
      <c r="AD5" t="str">
        <f t="shared" si="10"/>
        <v>1-3</v>
      </c>
      <c r="AE5" s="3">
        <f t="shared" ref="AE5:AE68" si="12">AE4-(I5+L5)</f>
        <v>19786.341782849777</v>
      </c>
      <c r="AF5" s="3">
        <f t="shared" ref="AF5:AF68" si="13">AF4+P5</f>
        <v>2550</v>
      </c>
    </row>
    <row r="6" spans="2:32" x14ac:dyDescent="0.25">
      <c r="B6" t="s">
        <v>11</v>
      </c>
      <c r="C6" s="7">
        <v>0</v>
      </c>
      <c r="F6" s="2">
        <v>1</v>
      </c>
      <c r="G6" s="2">
        <v>4</v>
      </c>
      <c r="H6" s="10">
        <f t="shared" si="0"/>
        <v>-887.35615656627056</v>
      </c>
      <c r="I6" s="11">
        <f t="shared" ref="I6:I62" si="14">-K5*$D$12</f>
        <v>-396.33568328287743</v>
      </c>
      <c r="J6" s="10">
        <f t="shared" si="11"/>
        <v>-491.02047328339313</v>
      </c>
      <c r="K6" s="10">
        <f t="shared" si="1"/>
        <v>158043.25283986758</v>
      </c>
      <c r="L6" s="11">
        <f t="shared" si="2"/>
        <v>-196.66666666666666</v>
      </c>
      <c r="M6" s="11"/>
      <c r="N6" s="11"/>
      <c r="O6" s="11"/>
      <c r="P6" s="11">
        <f t="shared" si="3"/>
        <v>850</v>
      </c>
      <c r="Q6" s="12">
        <f t="shared" si="4"/>
        <v>-234.0228232329373</v>
      </c>
      <c r="R6" s="10">
        <f t="shared" ref="R6:R61" si="15">R5+Q6</f>
        <v>-100936.09129293176</v>
      </c>
      <c r="S6" s="13">
        <f t="shared" si="5"/>
        <v>245999.99999999997</v>
      </c>
      <c r="T6" s="10">
        <f t="shared" si="6"/>
        <v>158043.25283986758</v>
      </c>
      <c r="U6" s="10">
        <f t="shared" si="7"/>
        <v>-12979.344132799364</v>
      </c>
      <c r="W6" s="2"/>
      <c r="X6" t="s">
        <v>16</v>
      </c>
      <c r="Y6">
        <f t="shared" si="8"/>
        <v>160000</v>
      </c>
      <c r="Z6" s="2"/>
      <c r="AA6" t="s">
        <v>59</v>
      </c>
      <c r="AB6" s="24">
        <f t="shared" si="9"/>
        <v>52356.843758701223</v>
      </c>
      <c r="AC6" s="2"/>
      <c r="AD6" t="str">
        <f t="shared" si="10"/>
        <v>1-4</v>
      </c>
      <c r="AE6" s="3">
        <f t="shared" si="12"/>
        <v>20379.344132799321</v>
      </c>
      <c r="AF6" s="3">
        <f t="shared" si="13"/>
        <v>3400</v>
      </c>
    </row>
    <row r="7" spans="2:32" x14ac:dyDescent="0.25">
      <c r="B7" t="s">
        <v>12</v>
      </c>
      <c r="C7">
        <v>2000</v>
      </c>
      <c r="F7" s="2">
        <v>1</v>
      </c>
      <c r="G7" s="2">
        <v>5</v>
      </c>
      <c r="H7" s="10">
        <f t="shared" si="0"/>
        <v>-887.35615656627056</v>
      </c>
      <c r="I7" s="11">
        <f t="shared" si="14"/>
        <v>-395.10813209966898</v>
      </c>
      <c r="J7" s="10">
        <f t="shared" si="11"/>
        <v>-492.24802446660158</v>
      </c>
      <c r="K7" s="10">
        <f t="shared" si="1"/>
        <v>157551.00481540099</v>
      </c>
      <c r="L7" s="11">
        <f t="shared" si="2"/>
        <v>-196.66666666666666</v>
      </c>
      <c r="M7" s="11"/>
      <c r="N7" s="11"/>
      <c r="O7" s="11"/>
      <c r="P7" s="11">
        <f t="shared" si="3"/>
        <v>850</v>
      </c>
      <c r="Q7" s="12">
        <f t="shared" si="4"/>
        <v>-234.0228232329373</v>
      </c>
      <c r="R7" s="10">
        <f t="shared" si="15"/>
        <v>-101170.1141161647</v>
      </c>
      <c r="S7" s="13">
        <f t="shared" si="5"/>
        <v>245999.99999999997</v>
      </c>
      <c r="T7" s="10">
        <f t="shared" si="6"/>
        <v>157551.00481540099</v>
      </c>
      <c r="U7" s="10">
        <f t="shared" si="7"/>
        <v>-12721.11893156571</v>
      </c>
      <c r="W7" s="2"/>
      <c r="X7" t="s">
        <v>7</v>
      </c>
      <c r="Y7" s="7">
        <f t="shared" si="8"/>
        <v>0.03</v>
      </c>
      <c r="Z7" s="2"/>
      <c r="AA7" t="s">
        <v>66</v>
      </c>
      <c r="AB7" s="24">
        <f>VLOOKUP(AA7,$B:$C,2,0)</f>
        <v>12000</v>
      </c>
      <c r="AC7" s="2"/>
      <c r="AD7" t="str">
        <f t="shared" si="10"/>
        <v>1-5</v>
      </c>
      <c r="AE7" s="3">
        <f t="shared" si="12"/>
        <v>20971.118931565656</v>
      </c>
      <c r="AF7" s="3">
        <f t="shared" si="13"/>
        <v>4250</v>
      </c>
    </row>
    <row r="8" spans="2:32" x14ac:dyDescent="0.25">
      <c r="B8" t="s">
        <v>13</v>
      </c>
      <c r="C8">
        <v>0</v>
      </c>
      <c r="F8" s="2">
        <v>1</v>
      </c>
      <c r="G8" s="2">
        <v>6</v>
      </c>
      <c r="H8" s="10">
        <f t="shared" si="0"/>
        <v>-887.35615656627056</v>
      </c>
      <c r="I8" s="11">
        <f t="shared" si="14"/>
        <v>-393.87751203850246</v>
      </c>
      <c r="J8" s="10">
        <f t="shared" si="11"/>
        <v>-493.4786445277681</v>
      </c>
      <c r="K8" s="10">
        <f t="shared" si="1"/>
        <v>157057.52617087323</v>
      </c>
      <c r="L8" s="11">
        <f t="shared" si="2"/>
        <v>-196.66666666666666</v>
      </c>
      <c r="M8" s="11"/>
      <c r="N8" s="11"/>
      <c r="O8" s="11"/>
      <c r="P8" s="11">
        <f t="shared" si="3"/>
        <v>850</v>
      </c>
      <c r="Q8" s="12">
        <f t="shared" si="4"/>
        <v>-234.0228232329373</v>
      </c>
      <c r="R8" s="10">
        <f t="shared" si="15"/>
        <v>-101404.13693939763</v>
      </c>
      <c r="S8" s="13">
        <f t="shared" si="5"/>
        <v>245999.99999999997</v>
      </c>
      <c r="T8" s="10">
        <f t="shared" si="6"/>
        <v>157057.52617087323</v>
      </c>
      <c r="U8" s="10">
        <f t="shared" si="7"/>
        <v>-12461.663110270893</v>
      </c>
      <c r="W8" s="2"/>
      <c r="X8" t="s">
        <v>8</v>
      </c>
      <c r="Y8">
        <f t="shared" si="8"/>
        <v>20</v>
      </c>
      <c r="Z8" s="2"/>
      <c r="AA8" s="27" t="s">
        <v>14</v>
      </c>
      <c r="AB8" s="28">
        <f>C43</f>
        <v>135322.32133460234</v>
      </c>
      <c r="AC8" s="2"/>
      <c r="AD8" t="str">
        <f t="shared" si="10"/>
        <v>1-6</v>
      </c>
      <c r="AE8" s="3">
        <f t="shared" si="12"/>
        <v>21561.663110270823</v>
      </c>
      <c r="AF8" s="3">
        <f t="shared" si="13"/>
        <v>5100</v>
      </c>
    </row>
    <row r="9" spans="2:32" x14ac:dyDescent="0.25">
      <c r="B9" t="s">
        <v>14</v>
      </c>
      <c r="C9">
        <f>C4+(C5+C6)*C4+C7+C8</f>
        <v>260000</v>
      </c>
      <c r="F9" s="2">
        <v>1</v>
      </c>
      <c r="G9" s="2">
        <v>7</v>
      </c>
      <c r="H9" s="10">
        <f t="shared" si="0"/>
        <v>-887.35615656627056</v>
      </c>
      <c r="I9" s="11">
        <f t="shared" si="14"/>
        <v>-392.64381542718309</v>
      </c>
      <c r="J9" s="10">
        <f t="shared" si="11"/>
        <v>-494.71234113908747</v>
      </c>
      <c r="K9" s="10">
        <f t="shared" si="1"/>
        <v>156562.81382973414</v>
      </c>
      <c r="L9" s="11">
        <f t="shared" si="2"/>
        <v>-196.66666666666666</v>
      </c>
      <c r="M9" s="11"/>
      <c r="N9" s="11"/>
      <c r="O9" s="11"/>
      <c r="P9" s="11">
        <f t="shared" si="3"/>
        <v>850</v>
      </c>
      <c r="Q9" s="12">
        <f t="shared" si="4"/>
        <v>-234.0228232329373</v>
      </c>
      <c r="R9" s="10">
        <f t="shared" si="15"/>
        <v>-101638.15976263057</v>
      </c>
      <c r="S9" s="13">
        <f t="shared" si="5"/>
        <v>245999.99999999997</v>
      </c>
      <c r="T9" s="10">
        <f t="shared" si="6"/>
        <v>156562.81382973414</v>
      </c>
      <c r="U9" s="10">
        <f t="shared" si="7"/>
        <v>-12200.973592364739</v>
      </c>
      <c r="W9" s="2"/>
      <c r="X9" t="s">
        <v>23</v>
      </c>
      <c r="Y9" s="2">
        <f t="shared" si="8"/>
        <v>1000</v>
      </c>
      <c r="Z9" s="2"/>
      <c r="AA9" s="27" t="s">
        <v>64</v>
      </c>
      <c r="AB9" s="29">
        <f>VLOOKUP(AA9,$B:$C,2,0)</f>
        <v>0.5638430055608431</v>
      </c>
      <c r="AC9" s="2"/>
      <c r="AD9" t="str">
        <f t="shared" si="10"/>
        <v>1-7</v>
      </c>
      <c r="AE9" s="3">
        <f t="shared" si="12"/>
        <v>22150.973592364673</v>
      </c>
      <c r="AF9" s="3">
        <f t="shared" si="13"/>
        <v>5950</v>
      </c>
    </row>
    <row r="10" spans="2:32" x14ac:dyDescent="0.25">
      <c r="B10" t="s">
        <v>15</v>
      </c>
      <c r="C10">
        <v>100000</v>
      </c>
      <c r="F10" s="2">
        <v>1</v>
      </c>
      <c r="G10" s="2">
        <v>8</v>
      </c>
      <c r="H10" s="10">
        <f t="shared" si="0"/>
        <v>-887.35615656627056</v>
      </c>
      <c r="I10" s="11">
        <f t="shared" si="14"/>
        <v>-391.40703457433534</v>
      </c>
      <c r="J10" s="10">
        <f t="shared" si="11"/>
        <v>-495.94912199193521</v>
      </c>
      <c r="K10" s="10">
        <f t="shared" si="1"/>
        <v>156066.86470774221</v>
      </c>
      <c r="L10" s="11">
        <f t="shared" si="2"/>
        <v>-196.66666666666666</v>
      </c>
      <c r="M10" s="11"/>
      <c r="N10" s="11"/>
      <c r="O10" s="11"/>
      <c r="P10" s="11">
        <f t="shared" si="3"/>
        <v>850</v>
      </c>
      <c r="Q10" s="12">
        <f t="shared" si="4"/>
        <v>-234.0228232329373</v>
      </c>
      <c r="R10" s="10">
        <f t="shared" si="15"/>
        <v>-101872.18258586351</v>
      </c>
      <c r="S10" s="13">
        <f t="shared" si="5"/>
        <v>245999.99999999997</v>
      </c>
      <c r="T10" s="10">
        <f t="shared" si="6"/>
        <v>156066.86470774221</v>
      </c>
      <c r="U10" s="10">
        <f t="shared" si="7"/>
        <v>-11939.047293605749</v>
      </c>
      <c r="W10" s="2"/>
      <c r="X10" t="s">
        <v>24</v>
      </c>
      <c r="Y10" s="2">
        <f t="shared" si="8"/>
        <v>0</v>
      </c>
      <c r="Z10" s="2"/>
      <c r="AB10" s="3"/>
      <c r="AC10" s="2"/>
      <c r="AD10" t="str">
        <f t="shared" si="10"/>
        <v>1-8</v>
      </c>
      <c r="AE10" s="3">
        <f t="shared" si="12"/>
        <v>22739.047293605676</v>
      </c>
      <c r="AF10" s="3">
        <f t="shared" si="13"/>
        <v>6800</v>
      </c>
    </row>
    <row r="11" spans="2:32" x14ac:dyDescent="0.25">
      <c r="B11" t="s">
        <v>16</v>
      </c>
      <c r="C11">
        <f>C9-C10</f>
        <v>160000</v>
      </c>
      <c r="F11" s="2">
        <v>1</v>
      </c>
      <c r="G11" s="2">
        <v>9</v>
      </c>
      <c r="H11" s="10">
        <f t="shared" si="0"/>
        <v>-887.35615656627056</v>
      </c>
      <c r="I11" s="11">
        <f t="shared" si="14"/>
        <v>-390.16716176935552</v>
      </c>
      <c r="J11" s="10">
        <f t="shared" si="11"/>
        <v>-497.18899479691504</v>
      </c>
      <c r="K11" s="10">
        <f t="shared" si="1"/>
        <v>155569.67571294529</v>
      </c>
      <c r="L11" s="11">
        <f t="shared" si="2"/>
        <v>-196.66666666666666</v>
      </c>
      <c r="M11" s="11"/>
      <c r="N11" s="11"/>
      <c r="O11" s="11"/>
      <c r="P11" s="11">
        <f t="shared" si="3"/>
        <v>850</v>
      </c>
      <c r="Q11" s="12">
        <f t="shared" si="4"/>
        <v>-234.0228232329373</v>
      </c>
      <c r="R11" s="10">
        <f t="shared" si="15"/>
        <v>-102106.20540909645</v>
      </c>
      <c r="S11" s="13">
        <f t="shared" si="5"/>
        <v>245999.99999999997</v>
      </c>
      <c r="T11" s="10">
        <f t="shared" si="6"/>
        <v>155569.67571294529</v>
      </c>
      <c r="U11" s="10">
        <f t="shared" si="7"/>
        <v>-11675.88112204177</v>
      </c>
      <c r="W11" s="2"/>
      <c r="X11" t="s">
        <v>25</v>
      </c>
      <c r="Y11" s="7">
        <f t="shared" si="8"/>
        <v>1E-3</v>
      </c>
      <c r="Z11" s="2"/>
      <c r="AA11" t="s">
        <v>60</v>
      </c>
      <c r="AB11" s="3"/>
      <c r="AC11" s="2"/>
      <c r="AD11" t="str">
        <f t="shared" si="10"/>
        <v>1-9</v>
      </c>
      <c r="AE11" s="3">
        <f t="shared" si="12"/>
        <v>23325.881122041697</v>
      </c>
      <c r="AF11" s="3">
        <f t="shared" si="13"/>
        <v>7650</v>
      </c>
    </row>
    <row r="12" spans="2:32" x14ac:dyDescent="0.25">
      <c r="B12" t="s">
        <v>7</v>
      </c>
      <c r="C12" s="7">
        <v>0.03</v>
      </c>
      <c r="D12" s="9">
        <f>C12/12</f>
        <v>2.5000000000000001E-3</v>
      </c>
      <c r="E12" s="9"/>
      <c r="F12" s="2">
        <v>1</v>
      </c>
      <c r="G12" s="2">
        <v>10</v>
      </c>
      <c r="H12" s="10">
        <f t="shared" si="0"/>
        <v>-887.35615656627056</v>
      </c>
      <c r="I12" s="11">
        <f t="shared" si="14"/>
        <v>-388.92418928236322</v>
      </c>
      <c r="J12" s="10">
        <f t="shared" si="11"/>
        <v>-498.43196728390734</v>
      </c>
      <c r="K12" s="10">
        <f t="shared" si="1"/>
        <v>155071.24374566137</v>
      </c>
      <c r="L12" s="11">
        <f t="shared" si="2"/>
        <v>-196.66666666666666</v>
      </c>
      <c r="M12" s="11"/>
      <c r="N12" s="11"/>
      <c r="O12" s="11"/>
      <c r="P12" s="11">
        <f t="shared" si="3"/>
        <v>850</v>
      </c>
      <c r="Q12" s="12">
        <f t="shared" si="4"/>
        <v>-234.0228232329373</v>
      </c>
      <c r="R12" s="10">
        <f t="shared" si="15"/>
        <v>-102340.22823232939</v>
      </c>
      <c r="S12" s="13">
        <f t="shared" si="5"/>
        <v>245999.99999999997</v>
      </c>
      <c r="T12" s="10">
        <f t="shared" si="6"/>
        <v>155071.24374566137</v>
      </c>
      <c r="U12" s="10">
        <f t="shared" si="7"/>
        <v>-11411.47197799079</v>
      </c>
      <c r="W12" s="2"/>
      <c r="X12" t="s">
        <v>26</v>
      </c>
      <c r="Y12">
        <f t="shared" si="8"/>
        <v>1200</v>
      </c>
      <c r="Z12" s="2"/>
      <c r="AB12" s="3"/>
      <c r="AC12" s="2"/>
      <c r="AD12" t="str">
        <f t="shared" si="10"/>
        <v>1-10</v>
      </c>
      <c r="AE12" s="3">
        <f t="shared" si="12"/>
        <v>23911.471977990728</v>
      </c>
      <c r="AF12" s="3">
        <f t="shared" si="13"/>
        <v>8500</v>
      </c>
    </row>
    <row r="13" spans="2:32" x14ac:dyDescent="0.25">
      <c r="B13" t="s">
        <v>8</v>
      </c>
      <c r="C13">
        <v>20</v>
      </c>
      <c r="D13" s="8">
        <f>C13*12</f>
        <v>240</v>
      </c>
      <c r="E13" s="8"/>
      <c r="F13" s="2">
        <v>1</v>
      </c>
      <c r="G13" s="2">
        <v>11</v>
      </c>
      <c r="H13" s="10">
        <f t="shared" si="0"/>
        <v>-887.35615656627056</v>
      </c>
      <c r="I13" s="11">
        <f t="shared" si="14"/>
        <v>-387.67810936415344</v>
      </c>
      <c r="J13" s="10">
        <f t="shared" si="11"/>
        <v>-499.67804720211711</v>
      </c>
      <c r="K13" s="10">
        <f t="shared" si="1"/>
        <v>154571.56569845925</v>
      </c>
      <c r="L13" s="11">
        <f t="shared" si="2"/>
        <v>-196.66666666666666</v>
      </c>
      <c r="M13" s="11"/>
      <c r="N13" s="11"/>
      <c r="O13" s="11"/>
      <c r="P13" s="11">
        <f t="shared" si="3"/>
        <v>850</v>
      </c>
      <c r="Q13" s="12">
        <f t="shared" si="4"/>
        <v>-234.0228232329373</v>
      </c>
      <c r="R13" s="10">
        <f t="shared" si="15"/>
        <v>-102574.25105556233</v>
      </c>
      <c r="S13" s="13">
        <f t="shared" si="5"/>
        <v>245999.99999999997</v>
      </c>
      <c r="T13" s="10">
        <f t="shared" si="6"/>
        <v>154571.56569845925</v>
      </c>
      <c r="U13" s="10">
        <f t="shared" si="7"/>
        <v>-11145.816754021609</v>
      </c>
      <c r="W13" s="2"/>
      <c r="X13" t="s">
        <v>27</v>
      </c>
      <c r="Y13" s="1">
        <f t="shared" si="8"/>
        <v>0.02</v>
      </c>
      <c r="Z13" s="2"/>
      <c r="AA13" t="s">
        <v>62</v>
      </c>
      <c r="AB13" s="24">
        <f>VLOOKUP(AA13,$B:$C,2,0)</f>
        <v>375322.32133460231</v>
      </c>
      <c r="AC13" s="2"/>
      <c r="AD13" t="str">
        <f t="shared" si="10"/>
        <v>1-11</v>
      </c>
      <c r="AE13" s="3">
        <f t="shared" si="12"/>
        <v>24495.816754021547</v>
      </c>
      <c r="AF13" s="3">
        <f t="shared" si="13"/>
        <v>9350</v>
      </c>
    </row>
    <row r="14" spans="2:32" x14ac:dyDescent="0.25">
      <c r="B14" t="s">
        <v>32</v>
      </c>
      <c r="C14" s="3">
        <f>C11*(D12*(1+D12)^D13)/((1+D12)^D13-1)</f>
        <v>887.35615656627056</v>
      </c>
      <c r="F14" s="2">
        <v>1</v>
      </c>
      <c r="G14" s="2">
        <v>12</v>
      </c>
      <c r="H14" s="10">
        <f t="shared" si="0"/>
        <v>-887.35615656627056</v>
      </c>
      <c r="I14" s="11">
        <f t="shared" si="14"/>
        <v>-386.42891424614811</v>
      </c>
      <c r="J14" s="10">
        <f t="shared" si="11"/>
        <v>-500.92724232012245</v>
      </c>
      <c r="K14" s="10">
        <f t="shared" si="1"/>
        <v>154070.63845613913</v>
      </c>
      <c r="L14" s="11">
        <f t="shared" si="2"/>
        <v>-196.66666666666666</v>
      </c>
      <c r="M14" s="11"/>
      <c r="N14" s="11"/>
      <c r="O14" s="11"/>
      <c r="P14" s="11">
        <f>$C$34*(1+$C$35)^($F14-1)</f>
        <v>850</v>
      </c>
      <c r="Q14" s="12">
        <f t="shared" si="4"/>
        <v>-234.0228232329373</v>
      </c>
      <c r="R14" s="10">
        <f t="shared" si="15"/>
        <v>-102808.27387879527</v>
      </c>
      <c r="S14" s="13">
        <f t="shared" si="5"/>
        <v>245999.99999999997</v>
      </c>
      <c r="T14" s="10">
        <f t="shared" si="6"/>
        <v>154070.63845613913</v>
      </c>
      <c r="U14" s="10">
        <f t="shared" si="7"/>
        <v>-10878.91233493443</v>
      </c>
      <c r="W14" s="2"/>
      <c r="X14" t="s">
        <v>30</v>
      </c>
      <c r="Y14" s="1">
        <f t="shared" si="8"/>
        <v>0.05</v>
      </c>
      <c r="Z14" s="2"/>
      <c r="AA14" t="s">
        <v>63</v>
      </c>
      <c r="AB14" s="26">
        <f>VLOOKUP(AA14,$B:$C,2,0)</f>
        <v>2.2609110574866476E-2</v>
      </c>
      <c r="AC14" s="2"/>
      <c r="AD14" t="str">
        <f t="shared" si="10"/>
        <v>1-12</v>
      </c>
      <c r="AE14" s="3">
        <f t="shared" si="12"/>
        <v>25078.912334934361</v>
      </c>
      <c r="AF14" s="3">
        <f t="shared" si="13"/>
        <v>10200</v>
      </c>
    </row>
    <row r="15" spans="2:32" x14ac:dyDescent="0.25">
      <c r="B15" t="s">
        <v>23</v>
      </c>
      <c r="C15" s="2">
        <v>1000</v>
      </c>
      <c r="F15" s="2">
        <f>F3+1</f>
        <v>2</v>
      </c>
      <c r="G15" s="2">
        <f>G3</f>
        <v>1</v>
      </c>
      <c r="H15" s="10">
        <f t="shared" si="0"/>
        <v>-887.35615656627056</v>
      </c>
      <c r="I15" s="11">
        <f t="shared" si="14"/>
        <v>-385.17659614034784</v>
      </c>
      <c r="J15" s="10">
        <f t="shared" si="11"/>
        <v>-502.17956042592272</v>
      </c>
      <c r="K15" s="10">
        <f t="shared" si="1"/>
        <v>153568.45889571321</v>
      </c>
      <c r="L15" s="11">
        <f t="shared" si="2"/>
        <v>-198.66666666666666</v>
      </c>
      <c r="M15" s="11"/>
      <c r="N15" s="11"/>
      <c r="O15" s="11"/>
      <c r="P15" s="11">
        <f t="shared" si="3"/>
        <v>867</v>
      </c>
      <c r="Q15" s="12">
        <f t="shared" si="4"/>
        <v>-219.0228232329373</v>
      </c>
      <c r="R15" s="10">
        <f t="shared" si="15"/>
        <v>-103027.29670202821</v>
      </c>
      <c r="S15" s="13">
        <f t="shared" si="5"/>
        <v>252149.99999999997</v>
      </c>
      <c r="T15" s="10">
        <f t="shared" si="6"/>
        <v>153568.45889571321</v>
      </c>
      <c r="U15" s="10">
        <f t="shared" si="7"/>
        <v>-4445.7555977414449</v>
      </c>
      <c r="W15" s="2"/>
      <c r="X15" s="2"/>
      <c r="Y15" s="4"/>
      <c r="Z15" s="2"/>
      <c r="AA15" s="2"/>
      <c r="AB15" s="2"/>
      <c r="AC15" s="2"/>
      <c r="AD15" t="str">
        <f t="shared" si="10"/>
        <v>2-1</v>
      </c>
      <c r="AE15" s="3">
        <f t="shared" si="12"/>
        <v>25662.755597741376</v>
      </c>
      <c r="AF15" s="3">
        <f t="shared" si="13"/>
        <v>11067</v>
      </c>
    </row>
    <row r="16" spans="2:32" x14ac:dyDescent="0.25">
      <c r="B16" t="s">
        <v>24</v>
      </c>
      <c r="C16" s="2">
        <v>0</v>
      </c>
      <c r="F16" s="2">
        <f>F4+1</f>
        <v>2</v>
      </c>
      <c r="G16" s="2">
        <f>G4</f>
        <v>2</v>
      </c>
      <c r="H16" s="10">
        <f t="shared" si="0"/>
        <v>-887.35615656627056</v>
      </c>
      <c r="I16" s="11">
        <f t="shared" si="14"/>
        <v>-383.92114723928302</v>
      </c>
      <c r="J16" s="10">
        <f t="shared" si="11"/>
        <v>-503.43500932698754</v>
      </c>
      <c r="K16" s="10">
        <f t="shared" si="1"/>
        <v>153065.02388638622</v>
      </c>
      <c r="L16" s="11">
        <f t="shared" si="2"/>
        <v>-198.66666666666666</v>
      </c>
      <c r="M16" s="11"/>
      <c r="N16" s="11"/>
      <c r="O16" s="11"/>
      <c r="P16" s="11">
        <f t="shared" si="3"/>
        <v>867</v>
      </c>
      <c r="Q16" s="12">
        <f t="shared" si="4"/>
        <v>-219.0228232329373</v>
      </c>
      <c r="R16" s="10">
        <f t="shared" si="15"/>
        <v>-103246.31952526115</v>
      </c>
      <c r="S16" s="13">
        <f t="shared" si="5"/>
        <v>252149.99999999997</v>
      </c>
      <c r="T16" s="10">
        <f t="shared" si="6"/>
        <v>153065.02388638622</v>
      </c>
      <c r="U16" s="10">
        <f t="shared" si="7"/>
        <v>-4161.3434116473945</v>
      </c>
      <c r="W16" s="2"/>
      <c r="X16" s="2"/>
      <c r="Y16" s="4"/>
      <c r="Z16" s="2"/>
      <c r="AA16" s="2"/>
      <c r="AB16" s="2"/>
      <c r="AC16" s="2"/>
      <c r="AD16" t="str">
        <f t="shared" si="10"/>
        <v>2-2</v>
      </c>
      <c r="AE16" s="3">
        <f t="shared" si="12"/>
        <v>26245.343411647325</v>
      </c>
      <c r="AF16" s="3">
        <f t="shared" si="13"/>
        <v>11934</v>
      </c>
    </row>
    <row r="17" spans="2:32" x14ac:dyDescent="0.25">
      <c r="B17" t="s">
        <v>25</v>
      </c>
      <c r="C17" s="7">
        <v>1E-3</v>
      </c>
      <c r="F17" s="2">
        <f t="shared" ref="F17:F80" si="16">F5+1</f>
        <v>2</v>
      </c>
      <c r="G17" s="2">
        <f t="shared" ref="G17:G80" si="17">G5</f>
        <v>3</v>
      </c>
      <c r="H17" s="10">
        <f t="shared" si="0"/>
        <v>-887.35615656627056</v>
      </c>
      <c r="I17" s="11">
        <f t="shared" si="14"/>
        <v>-382.66255971596553</v>
      </c>
      <c r="J17" s="10">
        <f t="shared" si="11"/>
        <v>-504.69359685030503</v>
      </c>
      <c r="K17" s="10">
        <f t="shared" si="1"/>
        <v>152560.33028953592</v>
      </c>
      <c r="L17" s="11">
        <f t="shared" si="2"/>
        <v>-198.66666666666666</v>
      </c>
      <c r="M17" s="11"/>
      <c r="N17" s="11"/>
      <c r="O17" s="11"/>
      <c r="P17" s="11">
        <f t="shared" si="3"/>
        <v>867</v>
      </c>
      <c r="Q17" s="12">
        <f t="shared" si="4"/>
        <v>-219.0228232329373</v>
      </c>
      <c r="R17" s="10">
        <f t="shared" si="15"/>
        <v>-103465.34234849409</v>
      </c>
      <c r="S17" s="13">
        <f t="shared" si="5"/>
        <v>252149.99999999997</v>
      </c>
      <c r="T17" s="10">
        <f t="shared" si="6"/>
        <v>152560.33028953592</v>
      </c>
      <c r="U17" s="10">
        <f t="shared" si="7"/>
        <v>-3875.6726380300388</v>
      </c>
      <c r="W17" s="2"/>
      <c r="X17" s="2"/>
      <c r="Y17" s="4"/>
      <c r="Z17" s="2"/>
      <c r="AA17" s="2"/>
      <c r="AB17" s="2"/>
      <c r="AC17" s="2"/>
      <c r="AD17" t="str">
        <f t="shared" si="10"/>
        <v>2-3</v>
      </c>
      <c r="AE17" s="3">
        <f t="shared" si="12"/>
        <v>26826.672638029959</v>
      </c>
      <c r="AF17" s="3">
        <f t="shared" si="13"/>
        <v>12801</v>
      </c>
    </row>
    <row r="18" spans="2:32" x14ac:dyDescent="0.25">
      <c r="B18" t="s">
        <v>26</v>
      </c>
      <c r="C18">
        <v>1200</v>
      </c>
      <c r="F18" s="2">
        <f t="shared" si="16"/>
        <v>2</v>
      </c>
      <c r="G18" s="2">
        <f t="shared" si="17"/>
        <v>4</v>
      </c>
      <c r="H18" s="10">
        <f t="shared" si="0"/>
        <v>-887.35615656627056</v>
      </c>
      <c r="I18" s="11">
        <f t="shared" si="14"/>
        <v>-381.40082572383983</v>
      </c>
      <c r="J18" s="10">
        <f t="shared" si="11"/>
        <v>-505.95533084243073</v>
      </c>
      <c r="K18" s="10">
        <f t="shared" si="1"/>
        <v>152054.37495869349</v>
      </c>
      <c r="L18" s="11">
        <f t="shared" si="2"/>
        <v>-198.66666666666666</v>
      </c>
      <c r="M18" s="11"/>
      <c r="N18" s="11"/>
      <c r="O18" s="11"/>
      <c r="P18" s="11">
        <f t="shared" si="3"/>
        <v>867</v>
      </c>
      <c r="Q18" s="12">
        <f t="shared" si="4"/>
        <v>-219.0228232329373</v>
      </c>
      <c r="R18" s="10">
        <f t="shared" si="15"/>
        <v>-103684.36517172703</v>
      </c>
      <c r="S18" s="13">
        <f t="shared" si="5"/>
        <v>252149.99999999997</v>
      </c>
      <c r="T18" s="10">
        <f t="shared" si="6"/>
        <v>152054.37495869349</v>
      </c>
      <c r="U18" s="10">
        <f t="shared" si="7"/>
        <v>-3588.7401304205414</v>
      </c>
      <c r="W18" s="2"/>
      <c r="X18" s="2"/>
      <c r="Y18" s="4"/>
      <c r="Z18" s="2"/>
      <c r="AA18" s="2"/>
      <c r="AB18" s="2"/>
      <c r="AC18" s="2"/>
      <c r="AD18" t="str">
        <f t="shared" si="10"/>
        <v>2-4</v>
      </c>
      <c r="AE18" s="3">
        <f t="shared" si="12"/>
        <v>27406.740130420465</v>
      </c>
      <c r="AF18" s="3">
        <f t="shared" si="13"/>
        <v>13668</v>
      </c>
    </row>
    <row r="19" spans="2:32" x14ac:dyDescent="0.25">
      <c r="B19" t="s">
        <v>27</v>
      </c>
      <c r="C19" s="1">
        <v>0.02</v>
      </c>
      <c r="F19" s="2">
        <f t="shared" si="16"/>
        <v>2</v>
      </c>
      <c r="G19" s="2">
        <f t="shared" si="17"/>
        <v>5</v>
      </c>
      <c r="H19" s="10">
        <f t="shared" si="0"/>
        <v>-887.35615656627056</v>
      </c>
      <c r="I19" s="11">
        <f t="shared" si="14"/>
        <v>-380.13593739673371</v>
      </c>
      <c r="J19" s="10">
        <f t="shared" si="11"/>
        <v>-507.22021916953685</v>
      </c>
      <c r="K19" s="10">
        <f t="shared" si="1"/>
        <v>151547.15473952395</v>
      </c>
      <c r="L19" s="11">
        <f t="shared" si="2"/>
        <v>-198.66666666666666</v>
      </c>
      <c r="M19" s="11"/>
      <c r="N19" s="11"/>
      <c r="O19" s="11"/>
      <c r="P19" s="11">
        <f t="shared" si="3"/>
        <v>867</v>
      </c>
      <c r="Q19" s="12">
        <f t="shared" si="4"/>
        <v>-219.0228232329373</v>
      </c>
      <c r="R19" s="10">
        <f t="shared" si="15"/>
        <v>-103903.38799495996</v>
      </c>
      <c r="S19" s="13">
        <f t="shared" si="5"/>
        <v>252149.99999999997</v>
      </c>
      <c r="T19" s="10">
        <f t="shared" si="6"/>
        <v>151547.15473952395</v>
      </c>
      <c r="U19" s="10">
        <f>S19-T19+R19</f>
        <v>-3300.5427344839409</v>
      </c>
      <c r="W19" s="2"/>
      <c r="X19" s="2"/>
      <c r="Y19" s="4"/>
      <c r="Z19" s="2"/>
      <c r="AA19" s="2"/>
      <c r="AB19" s="2"/>
      <c r="AC19" s="2"/>
      <c r="AD19" t="str">
        <f t="shared" si="10"/>
        <v>2-5</v>
      </c>
      <c r="AE19" s="3">
        <f t="shared" si="12"/>
        <v>27985.542734483864</v>
      </c>
      <c r="AF19" s="3">
        <f t="shared" si="13"/>
        <v>14535</v>
      </c>
    </row>
    <row r="20" spans="2:32" x14ac:dyDescent="0.25">
      <c r="B20" t="s">
        <v>28</v>
      </c>
      <c r="C20" s="22">
        <v>0</v>
      </c>
      <c r="F20" s="2">
        <f t="shared" si="16"/>
        <v>2</v>
      </c>
      <c r="G20" s="2">
        <f t="shared" si="17"/>
        <v>6</v>
      </c>
      <c r="H20" s="10">
        <f t="shared" si="0"/>
        <v>-887.35615656627056</v>
      </c>
      <c r="I20" s="11">
        <f t="shared" si="14"/>
        <v>-378.86788684880986</v>
      </c>
      <c r="J20" s="10">
        <f t="shared" si="11"/>
        <v>-508.4882697174607</v>
      </c>
      <c r="K20" s="10">
        <f t="shared" si="1"/>
        <v>151038.66646980649</v>
      </c>
      <c r="L20" s="11">
        <f t="shared" si="2"/>
        <v>-198.66666666666666</v>
      </c>
      <c r="M20" s="11"/>
      <c r="N20" s="11"/>
      <c r="O20" s="11"/>
      <c r="P20" s="11">
        <f t="shared" si="3"/>
        <v>867</v>
      </c>
      <c r="Q20" s="12">
        <f t="shared" si="4"/>
        <v>-219.0228232329373</v>
      </c>
      <c r="R20" s="10">
        <f t="shared" si="15"/>
        <v>-104122.4108181929</v>
      </c>
      <c r="S20" s="13">
        <f t="shared" si="5"/>
        <v>252149.99999999997</v>
      </c>
      <c r="T20" s="10">
        <f t="shared" si="6"/>
        <v>151038.66646980649</v>
      </c>
      <c r="U20" s="10">
        <f t="shared" ref="U20:U62" si="18">S20-T20+R20</f>
        <v>-3011.0772879994183</v>
      </c>
      <c r="AD20" t="str">
        <f t="shared" si="10"/>
        <v>2-6</v>
      </c>
      <c r="AE20" s="3">
        <f t="shared" si="12"/>
        <v>28563.077287999342</v>
      </c>
      <c r="AF20" s="3">
        <f t="shared" si="13"/>
        <v>15402</v>
      </c>
    </row>
    <row r="21" spans="2:32" x14ac:dyDescent="0.25">
      <c r="B21" t="s">
        <v>29</v>
      </c>
      <c r="C21" s="22">
        <v>2.5000000000000001E-2</v>
      </c>
      <c r="D21" s="9">
        <f>(1+C21)^(1/12)-1</f>
        <v>2.0598362698427408E-3</v>
      </c>
      <c r="F21" s="2">
        <f t="shared" si="16"/>
        <v>2</v>
      </c>
      <c r="G21" s="2">
        <f t="shared" si="17"/>
        <v>7</v>
      </c>
      <c r="H21" s="10">
        <f t="shared" si="0"/>
        <v>-887.35615656627056</v>
      </c>
      <c r="I21" s="11">
        <f t="shared" si="14"/>
        <v>-377.5966661745162</v>
      </c>
      <c r="J21" s="10">
        <f t="shared" si="11"/>
        <v>-509.75949039175435</v>
      </c>
      <c r="K21" s="10">
        <f t="shared" si="1"/>
        <v>150528.90697941472</v>
      </c>
      <c r="L21" s="11">
        <f t="shared" si="2"/>
        <v>-198.66666666666666</v>
      </c>
      <c r="M21" s="11"/>
      <c r="N21" s="11"/>
      <c r="O21" s="11"/>
      <c r="P21" s="11">
        <f t="shared" si="3"/>
        <v>867</v>
      </c>
      <c r="Q21" s="12">
        <f t="shared" si="4"/>
        <v>-219.0228232329373</v>
      </c>
      <c r="R21" s="10">
        <f t="shared" si="15"/>
        <v>-104341.43364142584</v>
      </c>
      <c r="S21" s="13">
        <f t="shared" si="5"/>
        <v>252149.99999999997</v>
      </c>
      <c r="T21" s="10">
        <f t="shared" si="6"/>
        <v>150528.90697941472</v>
      </c>
      <c r="U21" s="10">
        <f t="shared" si="18"/>
        <v>-2720.3406208405941</v>
      </c>
      <c r="AD21" t="str">
        <f t="shared" si="10"/>
        <v>2-7</v>
      </c>
      <c r="AE21" s="3">
        <f t="shared" si="12"/>
        <v>29139.340620840525</v>
      </c>
      <c r="AF21" s="3">
        <f t="shared" si="13"/>
        <v>16269</v>
      </c>
    </row>
    <row r="22" spans="2:32" x14ac:dyDescent="0.25">
      <c r="B22" t="s">
        <v>30</v>
      </c>
      <c r="C22" s="1">
        <v>0.05</v>
      </c>
      <c r="F22" s="2">
        <f t="shared" si="16"/>
        <v>2</v>
      </c>
      <c r="G22" s="2">
        <f t="shared" si="17"/>
        <v>8</v>
      </c>
      <c r="H22" s="10">
        <f t="shared" si="0"/>
        <v>-887.35615656627056</v>
      </c>
      <c r="I22" s="11">
        <f t="shared" si="14"/>
        <v>-376.32226744853682</v>
      </c>
      <c r="J22" s="10">
        <f t="shared" si="11"/>
        <v>-511.03388911773374</v>
      </c>
      <c r="K22" s="10">
        <f t="shared" si="1"/>
        <v>150017.87309029698</v>
      </c>
      <c r="L22" s="11">
        <f t="shared" si="2"/>
        <v>-198.66666666666666</v>
      </c>
      <c r="M22" s="11"/>
      <c r="N22" s="11"/>
      <c r="O22" s="11"/>
      <c r="P22" s="11">
        <f t="shared" si="3"/>
        <v>867</v>
      </c>
      <c r="Q22" s="12">
        <f t="shared" si="4"/>
        <v>-219.0228232329373</v>
      </c>
      <c r="R22" s="10">
        <f t="shared" si="15"/>
        <v>-104560.45646465878</v>
      </c>
      <c r="S22" s="13">
        <f t="shared" si="5"/>
        <v>252149.99999999997</v>
      </c>
      <c r="T22" s="10">
        <f t="shared" si="6"/>
        <v>150017.87309029698</v>
      </c>
      <c r="U22" s="10">
        <f t="shared" si="18"/>
        <v>-2428.3295549557952</v>
      </c>
      <c r="AD22" t="str">
        <f t="shared" si="10"/>
        <v>2-8</v>
      </c>
      <c r="AE22" s="3">
        <f t="shared" si="12"/>
        <v>29714.32955495573</v>
      </c>
      <c r="AF22" s="3">
        <f t="shared" si="13"/>
        <v>17136</v>
      </c>
    </row>
    <row r="23" spans="2:32" x14ac:dyDescent="0.25">
      <c r="F23" s="2">
        <f t="shared" si="16"/>
        <v>2</v>
      </c>
      <c r="G23" s="2">
        <f t="shared" si="17"/>
        <v>9</v>
      </c>
      <c r="H23" s="10">
        <f t="shared" si="0"/>
        <v>-887.35615656627056</v>
      </c>
      <c r="I23" s="11">
        <f t="shared" si="14"/>
        <v>-375.04468272574246</v>
      </c>
      <c r="J23" s="10">
        <f t="shared" si="11"/>
        <v>-512.31147384052815</v>
      </c>
      <c r="K23" s="10">
        <f t="shared" si="1"/>
        <v>149505.56161645646</v>
      </c>
      <c r="L23" s="11">
        <f t="shared" si="2"/>
        <v>-198.66666666666666</v>
      </c>
      <c r="M23" s="11"/>
      <c r="N23" s="11"/>
      <c r="O23" s="11"/>
      <c r="P23" s="11">
        <f t="shared" si="3"/>
        <v>867</v>
      </c>
      <c r="Q23" s="12">
        <f t="shared" si="4"/>
        <v>-219.0228232329373</v>
      </c>
      <c r="R23" s="10">
        <f t="shared" si="15"/>
        <v>-104779.47928789172</v>
      </c>
      <c r="S23" s="13">
        <f t="shared" si="5"/>
        <v>252149.99999999997</v>
      </c>
      <c r="T23" s="10">
        <f t="shared" si="6"/>
        <v>149505.56161645646</v>
      </c>
      <c r="U23" s="10">
        <f t="shared" si="18"/>
        <v>-2135.0409043482068</v>
      </c>
      <c r="W23" s="2"/>
      <c r="X23" s="2"/>
      <c r="Y23" s="4"/>
      <c r="Z23" s="2"/>
      <c r="AA23" s="2"/>
      <c r="AB23" s="2"/>
      <c r="AC23" s="2"/>
      <c r="AD23" t="str">
        <f t="shared" si="10"/>
        <v>2-9</v>
      </c>
      <c r="AE23" s="3">
        <f t="shared" si="12"/>
        <v>30288.040904348138</v>
      </c>
      <c r="AF23" s="3">
        <f t="shared" si="13"/>
        <v>18003</v>
      </c>
    </row>
    <row r="24" spans="2:32" x14ac:dyDescent="0.25">
      <c r="F24" s="2">
        <f t="shared" si="16"/>
        <v>2</v>
      </c>
      <c r="G24" s="2">
        <f t="shared" si="17"/>
        <v>10</v>
      </c>
      <c r="H24" s="10">
        <f t="shared" si="0"/>
        <v>-887.35615656627056</v>
      </c>
      <c r="I24" s="11">
        <f t="shared" si="14"/>
        <v>-373.76390404114113</v>
      </c>
      <c r="J24" s="10">
        <f t="shared" si="11"/>
        <v>-513.59225252512942</v>
      </c>
      <c r="K24" s="10">
        <f t="shared" si="1"/>
        <v>148991.96936393133</v>
      </c>
      <c r="L24" s="11">
        <f t="shared" si="2"/>
        <v>-198.66666666666666</v>
      </c>
      <c r="M24" s="11"/>
      <c r="N24" s="11"/>
      <c r="O24" s="11"/>
      <c r="P24" s="11">
        <f t="shared" si="3"/>
        <v>867</v>
      </c>
      <c r="Q24" s="12">
        <f t="shared" si="4"/>
        <v>-219.0228232329373</v>
      </c>
      <c r="R24" s="10">
        <f t="shared" si="15"/>
        <v>-104998.50211112466</v>
      </c>
      <c r="S24" s="13">
        <f t="shared" si="5"/>
        <v>252149.99999999997</v>
      </c>
      <c r="T24" s="10">
        <f t="shared" si="6"/>
        <v>148991.96936393133</v>
      </c>
      <c r="U24" s="10">
        <f t="shared" si="18"/>
        <v>-1840.4714750560233</v>
      </c>
      <c r="W24" s="2"/>
      <c r="X24" s="2"/>
      <c r="Y24" s="12"/>
      <c r="Z24" s="10"/>
      <c r="AA24" s="2"/>
      <c r="AB24" s="2"/>
      <c r="AC24" s="10"/>
      <c r="AD24" t="str">
        <f t="shared" si="10"/>
        <v>2-10</v>
      </c>
      <c r="AE24" s="3">
        <f t="shared" si="12"/>
        <v>30860.471475055947</v>
      </c>
      <c r="AF24" s="3">
        <f t="shared" si="13"/>
        <v>18870</v>
      </c>
    </row>
    <row r="25" spans="2:32" x14ac:dyDescent="0.25">
      <c r="B25" t="s">
        <v>35</v>
      </c>
      <c r="C25">
        <v>5</v>
      </c>
      <c r="F25" s="2">
        <f t="shared" si="16"/>
        <v>2</v>
      </c>
      <c r="G25" s="2">
        <f t="shared" si="17"/>
        <v>11</v>
      </c>
      <c r="H25" s="10">
        <f t="shared" si="0"/>
        <v>-887.35615656627056</v>
      </c>
      <c r="I25" s="11">
        <f t="shared" si="14"/>
        <v>-372.47992340982836</v>
      </c>
      <c r="J25" s="10">
        <f t="shared" si="11"/>
        <v>-514.87623315644214</v>
      </c>
      <c r="K25" s="10">
        <f t="shared" si="1"/>
        <v>148477.09313077488</v>
      </c>
      <c r="L25" s="11">
        <f t="shared" si="2"/>
        <v>-198.66666666666666</v>
      </c>
      <c r="M25" s="11"/>
      <c r="N25" s="11"/>
      <c r="O25" s="11"/>
      <c r="P25" s="11">
        <f t="shared" si="3"/>
        <v>867</v>
      </c>
      <c r="Q25" s="12">
        <f t="shared" si="4"/>
        <v>-219.0228232329373</v>
      </c>
      <c r="R25" s="10">
        <f t="shared" si="15"/>
        <v>-105217.5249343576</v>
      </c>
      <c r="S25" s="13">
        <f t="shared" si="5"/>
        <v>252149.99999999997</v>
      </c>
      <c r="T25" s="10">
        <f t="shared" si="6"/>
        <v>148477.09313077488</v>
      </c>
      <c r="U25" s="10">
        <f t="shared" si="18"/>
        <v>-1544.6180651325121</v>
      </c>
      <c r="Y25" s="4"/>
      <c r="Z25" s="2"/>
      <c r="AD25" t="str">
        <f t="shared" si="10"/>
        <v>2-11</v>
      </c>
      <c r="AE25" s="3">
        <f t="shared" si="12"/>
        <v>31431.618065132443</v>
      </c>
      <c r="AF25" s="3">
        <f t="shared" si="13"/>
        <v>19737</v>
      </c>
    </row>
    <row r="26" spans="2:32" x14ac:dyDescent="0.25">
      <c r="B26" t="s">
        <v>36</v>
      </c>
      <c r="C26">
        <v>10</v>
      </c>
      <c r="F26" s="2">
        <f t="shared" si="16"/>
        <v>2</v>
      </c>
      <c r="G26" s="2">
        <f t="shared" si="17"/>
        <v>12</v>
      </c>
      <c r="H26" s="10">
        <f t="shared" si="0"/>
        <v>-887.35615656627056</v>
      </c>
      <c r="I26" s="11">
        <f t="shared" si="14"/>
        <v>-371.19273282693723</v>
      </c>
      <c r="J26" s="10">
        <f t="shared" si="11"/>
        <v>-516.16342373933333</v>
      </c>
      <c r="K26" s="10">
        <f t="shared" si="1"/>
        <v>147960.92970703554</v>
      </c>
      <c r="L26" s="11">
        <f t="shared" si="2"/>
        <v>-198.66666666666666</v>
      </c>
      <c r="M26" s="11"/>
      <c r="N26" s="11"/>
      <c r="O26" s="11"/>
      <c r="P26" s="11">
        <f t="shared" si="3"/>
        <v>867</v>
      </c>
      <c r="Q26" s="12">
        <f t="shared" si="4"/>
        <v>-219.0228232329373</v>
      </c>
      <c r="R26" s="10">
        <f t="shared" si="15"/>
        <v>-105436.54775759054</v>
      </c>
      <c r="S26" s="13">
        <f t="shared" si="5"/>
        <v>252149.99999999997</v>
      </c>
      <c r="T26" s="10">
        <f t="shared" si="6"/>
        <v>147960.92970703554</v>
      </c>
      <c r="U26" s="10">
        <f t="shared" si="18"/>
        <v>-1247.4774646261067</v>
      </c>
      <c r="AD26" t="str">
        <f t="shared" si="10"/>
        <v>2-12</v>
      </c>
      <c r="AE26" s="3">
        <f t="shared" si="12"/>
        <v>32001.477464626048</v>
      </c>
      <c r="AF26" s="3">
        <f t="shared" si="13"/>
        <v>20604</v>
      </c>
    </row>
    <row r="27" spans="2:32" x14ac:dyDescent="0.25">
      <c r="F27" s="2">
        <f t="shared" si="16"/>
        <v>3</v>
      </c>
      <c r="G27" s="2">
        <f t="shared" si="17"/>
        <v>1</v>
      </c>
      <c r="H27" s="10">
        <f t="shared" si="0"/>
        <v>-887.35615656627056</v>
      </c>
      <c r="I27" s="11">
        <f t="shared" si="14"/>
        <v>-369.90232426758888</v>
      </c>
      <c r="J27" s="10">
        <f t="shared" si="11"/>
        <v>-517.45383229868162</v>
      </c>
      <c r="K27" s="10">
        <f t="shared" si="1"/>
        <v>147443.47587473685</v>
      </c>
      <c r="L27" s="11">
        <f t="shared" si="2"/>
        <v>-200.70666666666665</v>
      </c>
      <c r="M27" s="11"/>
      <c r="N27" s="11"/>
      <c r="O27" s="11"/>
      <c r="P27" s="11">
        <f t="shared" si="3"/>
        <v>884.34</v>
      </c>
      <c r="Q27" s="12">
        <f t="shared" si="4"/>
        <v>-203.72282323293723</v>
      </c>
      <c r="R27" s="10">
        <f t="shared" si="15"/>
        <v>-105640.27058082348</v>
      </c>
      <c r="S27" s="13">
        <f t="shared" si="5"/>
        <v>258453.74999999997</v>
      </c>
      <c r="T27" s="10">
        <f t="shared" si="6"/>
        <v>147443.47587473685</v>
      </c>
      <c r="U27" s="10">
        <f t="shared" si="18"/>
        <v>5370.003544439649</v>
      </c>
      <c r="AD27" t="str">
        <f t="shared" si="10"/>
        <v>3-1</v>
      </c>
      <c r="AE27" s="3">
        <f t="shared" si="12"/>
        <v>32572.086455560304</v>
      </c>
      <c r="AF27" s="3">
        <f t="shared" si="13"/>
        <v>21488.34</v>
      </c>
    </row>
    <row r="28" spans="2:32" x14ac:dyDescent="0.25">
      <c r="F28" s="2">
        <f t="shared" si="16"/>
        <v>3</v>
      </c>
      <c r="G28" s="2">
        <f t="shared" si="17"/>
        <v>2</v>
      </c>
      <c r="H28" s="10">
        <f t="shared" si="0"/>
        <v>-887.35615656627056</v>
      </c>
      <c r="I28" s="11">
        <f t="shared" si="14"/>
        <v>-368.60868968684213</v>
      </c>
      <c r="J28" s="10">
        <f t="shared" si="11"/>
        <v>-518.74746687942843</v>
      </c>
      <c r="K28" s="10">
        <f t="shared" si="1"/>
        <v>146924.72840785742</v>
      </c>
      <c r="L28" s="11">
        <f t="shared" si="2"/>
        <v>-200.70666666666665</v>
      </c>
      <c r="M28" s="11"/>
      <c r="N28" s="11"/>
      <c r="O28" s="11"/>
      <c r="P28" s="11">
        <f t="shared" si="3"/>
        <v>884.34</v>
      </c>
      <c r="Q28" s="12">
        <f t="shared" si="4"/>
        <v>-203.72282323293723</v>
      </c>
      <c r="R28" s="10">
        <f t="shared" si="15"/>
        <v>-105843.99340405641</v>
      </c>
      <c r="S28" s="13">
        <f t="shared" si="5"/>
        <v>258453.74999999997</v>
      </c>
      <c r="T28" s="10">
        <f t="shared" si="6"/>
        <v>146924.72840785742</v>
      </c>
      <c r="U28" s="10">
        <f t="shared" si="18"/>
        <v>5685.0281880861439</v>
      </c>
      <c r="AD28" t="str">
        <f t="shared" si="10"/>
        <v>3-2</v>
      </c>
      <c r="AE28" s="3">
        <f t="shared" si="12"/>
        <v>33141.401811913813</v>
      </c>
      <c r="AF28" s="3">
        <f t="shared" si="13"/>
        <v>22372.68</v>
      </c>
    </row>
    <row r="29" spans="2:32" x14ac:dyDescent="0.25">
      <c r="B29" t="s">
        <v>37</v>
      </c>
      <c r="C29" s="3">
        <f>-6*$D$12*K62</f>
        <v>-1927.4103990276651</v>
      </c>
      <c r="F29" s="2">
        <f t="shared" si="16"/>
        <v>3</v>
      </c>
      <c r="G29" s="2">
        <f t="shared" si="17"/>
        <v>3</v>
      </c>
      <c r="H29" s="10">
        <f t="shared" si="0"/>
        <v>-887.35615656627056</v>
      </c>
      <c r="I29" s="11">
        <f t="shared" si="14"/>
        <v>-367.31182101964356</v>
      </c>
      <c r="J29" s="10">
        <f t="shared" si="11"/>
        <v>-520.04433554662705</v>
      </c>
      <c r="K29" s="10">
        <f t="shared" si="1"/>
        <v>146404.68407231077</v>
      </c>
      <c r="L29" s="11">
        <f t="shared" si="2"/>
        <v>-200.70666666666665</v>
      </c>
      <c r="M29" s="11"/>
      <c r="N29" s="11"/>
      <c r="O29" s="11"/>
      <c r="P29" s="11">
        <f t="shared" si="3"/>
        <v>884.34</v>
      </c>
      <c r="Q29" s="12">
        <f t="shared" si="4"/>
        <v>-203.72282323293723</v>
      </c>
      <c r="R29" s="10">
        <f t="shared" si="15"/>
        <v>-106047.71622728935</v>
      </c>
      <c r="S29" s="13">
        <f t="shared" si="5"/>
        <v>258453.74999999997</v>
      </c>
      <c r="T29" s="10">
        <f t="shared" si="6"/>
        <v>146404.68407231077</v>
      </c>
      <c r="U29" s="10">
        <f t="shared" si="18"/>
        <v>6001.3497003998491</v>
      </c>
      <c r="AD29" t="str">
        <f t="shared" si="10"/>
        <v>3-3</v>
      </c>
      <c r="AE29" s="3">
        <f t="shared" si="12"/>
        <v>33709.420299600126</v>
      </c>
      <c r="AF29" s="3">
        <f t="shared" si="13"/>
        <v>23257.02</v>
      </c>
    </row>
    <row r="30" spans="2:32" x14ac:dyDescent="0.25">
      <c r="B30" t="s">
        <v>34</v>
      </c>
      <c r="C30" s="20">
        <f>S62-$C$22*S62-K62+C29</f>
        <v>127539.6355381904</v>
      </c>
      <c r="F30" s="2">
        <f t="shared" si="16"/>
        <v>3</v>
      </c>
      <c r="G30" s="2">
        <f t="shared" si="17"/>
        <v>4</v>
      </c>
      <c r="H30" s="10">
        <f t="shared" si="0"/>
        <v>-887.35615656627056</v>
      </c>
      <c r="I30" s="11">
        <f t="shared" si="14"/>
        <v>-366.01171018077696</v>
      </c>
      <c r="J30" s="10">
        <f t="shared" si="11"/>
        <v>-521.3444463854936</v>
      </c>
      <c r="K30" s="10">
        <f t="shared" si="1"/>
        <v>145883.33962592529</v>
      </c>
      <c r="L30" s="11">
        <f t="shared" si="2"/>
        <v>-200.70666666666665</v>
      </c>
      <c r="M30" s="11"/>
      <c r="N30" s="11"/>
      <c r="O30" s="11"/>
      <c r="P30" s="11">
        <f t="shared" si="3"/>
        <v>884.34</v>
      </c>
      <c r="Q30" s="12">
        <f t="shared" si="4"/>
        <v>-203.72282323293723</v>
      </c>
      <c r="R30" s="10">
        <f t="shared" si="15"/>
        <v>-106251.43905052228</v>
      </c>
      <c r="S30" s="13">
        <f t="shared" si="5"/>
        <v>258453.74999999997</v>
      </c>
      <c r="T30" s="10">
        <f t="shared" si="6"/>
        <v>145883.33962592529</v>
      </c>
      <c r="U30" s="10">
        <f t="shared" si="18"/>
        <v>6318.9713235523959</v>
      </c>
      <c r="AD30" t="str">
        <f t="shared" si="10"/>
        <v>3-4</v>
      </c>
      <c r="AE30" s="3">
        <f t="shared" si="12"/>
        <v>34276.138676447568</v>
      </c>
      <c r="AF30" s="3">
        <f t="shared" si="13"/>
        <v>24141.360000000001</v>
      </c>
    </row>
    <row r="31" spans="2:32" x14ac:dyDescent="0.25">
      <c r="F31" s="2">
        <f t="shared" si="16"/>
        <v>3</v>
      </c>
      <c r="G31" s="2">
        <f t="shared" si="17"/>
        <v>5</v>
      </c>
      <c r="H31" s="10">
        <f t="shared" si="0"/>
        <v>-887.35615656627056</v>
      </c>
      <c r="I31" s="11">
        <f t="shared" si="14"/>
        <v>-364.70834906481326</v>
      </c>
      <c r="J31" s="10">
        <f t="shared" si="11"/>
        <v>-522.64780750145724</v>
      </c>
      <c r="K31" s="10">
        <f t="shared" si="1"/>
        <v>145360.69181842383</v>
      </c>
      <c r="L31" s="11">
        <f t="shared" si="2"/>
        <v>-200.70666666666665</v>
      </c>
      <c r="M31" s="11"/>
      <c r="N31" s="11"/>
      <c r="O31" s="11"/>
      <c r="P31" s="11">
        <f t="shared" si="3"/>
        <v>884.34</v>
      </c>
      <c r="Q31" s="12">
        <f t="shared" si="4"/>
        <v>-203.72282323293723</v>
      </c>
      <c r="R31" s="10">
        <f t="shared" si="15"/>
        <v>-106455.16187375522</v>
      </c>
      <c r="S31" s="13">
        <f t="shared" si="5"/>
        <v>258453.74999999997</v>
      </c>
      <c r="T31" s="10">
        <f t="shared" si="6"/>
        <v>145360.69181842383</v>
      </c>
      <c r="U31" s="10">
        <f t="shared" si="18"/>
        <v>6637.8963078209199</v>
      </c>
      <c r="AD31" t="str">
        <f t="shared" si="10"/>
        <v>3-5</v>
      </c>
      <c r="AE31" s="3">
        <f t="shared" si="12"/>
        <v>34841.553692179048</v>
      </c>
      <c r="AF31" s="3">
        <f t="shared" si="13"/>
        <v>25025.7</v>
      </c>
    </row>
    <row r="32" spans="2:32" x14ac:dyDescent="0.25">
      <c r="B32" t="s">
        <v>38</v>
      </c>
      <c r="C32" s="1">
        <v>0.05</v>
      </c>
      <c r="D32" s="19">
        <f>(1+C32)^(1/12)-1</f>
        <v>4.0741237836483535E-3</v>
      </c>
      <c r="F32" s="2">
        <f t="shared" si="16"/>
        <v>3</v>
      </c>
      <c r="G32" s="2">
        <f t="shared" si="17"/>
        <v>6</v>
      </c>
      <c r="H32" s="10">
        <f t="shared" si="0"/>
        <v>-887.35615656627056</v>
      </c>
      <c r="I32" s="11">
        <f t="shared" si="14"/>
        <v>-363.40172954605958</v>
      </c>
      <c r="J32" s="10">
        <f t="shared" si="11"/>
        <v>-523.95442702021091</v>
      </c>
      <c r="K32" s="10">
        <f t="shared" si="1"/>
        <v>144836.73739140361</v>
      </c>
      <c r="L32" s="11">
        <f t="shared" si="2"/>
        <v>-200.70666666666665</v>
      </c>
      <c r="M32" s="11"/>
      <c r="N32" s="11"/>
      <c r="O32" s="11"/>
      <c r="P32" s="11">
        <f t="shared" si="3"/>
        <v>884.34</v>
      </c>
      <c r="Q32" s="12">
        <f t="shared" si="4"/>
        <v>-203.72282323293723</v>
      </c>
      <c r="R32" s="10">
        <f t="shared" si="15"/>
        <v>-106658.88469698816</v>
      </c>
      <c r="S32" s="13">
        <f t="shared" si="5"/>
        <v>258453.74999999997</v>
      </c>
      <c r="T32" s="10">
        <f t="shared" si="6"/>
        <v>144836.73739140361</v>
      </c>
      <c r="U32" s="10">
        <f t="shared" si="18"/>
        <v>6958.1279116082005</v>
      </c>
      <c r="AD32" t="str">
        <f t="shared" si="10"/>
        <v>3-6</v>
      </c>
      <c r="AE32" s="3">
        <f t="shared" si="12"/>
        <v>35405.662088391771</v>
      </c>
      <c r="AF32" s="3">
        <f t="shared" si="13"/>
        <v>25910.04</v>
      </c>
    </row>
    <row r="33" spans="2:32" x14ac:dyDescent="0.25">
      <c r="B33" t="s">
        <v>47</v>
      </c>
      <c r="C33" s="1">
        <v>0.25</v>
      </c>
      <c r="F33" s="2">
        <f t="shared" si="16"/>
        <v>3</v>
      </c>
      <c r="G33" s="2">
        <f t="shared" si="17"/>
        <v>7</v>
      </c>
      <c r="H33" s="10">
        <f t="shared" si="0"/>
        <v>-887.35615656627056</v>
      </c>
      <c r="I33" s="11">
        <f t="shared" si="14"/>
        <v>-362.09184347850902</v>
      </c>
      <c r="J33" s="10">
        <f t="shared" si="11"/>
        <v>-525.26431308776159</v>
      </c>
      <c r="K33" s="10">
        <f t="shared" si="1"/>
        <v>144311.47307831584</v>
      </c>
      <c r="L33" s="11">
        <f t="shared" si="2"/>
        <v>-200.70666666666665</v>
      </c>
      <c r="M33" s="11"/>
      <c r="N33" s="11"/>
      <c r="O33" s="11"/>
      <c r="P33" s="11">
        <f t="shared" si="3"/>
        <v>884.34</v>
      </c>
      <c r="Q33" s="12">
        <f t="shared" si="4"/>
        <v>-203.72282323293723</v>
      </c>
      <c r="R33" s="10">
        <f t="shared" si="15"/>
        <v>-106862.60752022109</v>
      </c>
      <c r="S33" s="13">
        <f t="shared" si="5"/>
        <v>258453.74999999997</v>
      </c>
      <c r="T33" s="10">
        <f t="shared" si="6"/>
        <v>144311.47307831584</v>
      </c>
      <c r="U33" s="10">
        <f t="shared" si="18"/>
        <v>7279.6694014630339</v>
      </c>
      <c r="AD33" t="str">
        <f t="shared" si="10"/>
        <v>3-7</v>
      </c>
      <c r="AE33" s="3">
        <f t="shared" si="12"/>
        <v>35968.460598536949</v>
      </c>
      <c r="AF33" s="3">
        <f t="shared" si="13"/>
        <v>26794.38</v>
      </c>
    </row>
    <row r="34" spans="2:32" x14ac:dyDescent="0.25">
      <c r="B34" t="s">
        <v>45</v>
      </c>
      <c r="C34">
        <v>850</v>
      </c>
      <c r="F34" s="2">
        <f t="shared" si="16"/>
        <v>3</v>
      </c>
      <c r="G34" s="2">
        <f t="shared" si="17"/>
        <v>8</v>
      </c>
      <c r="H34" s="10">
        <f t="shared" si="0"/>
        <v>-887.35615656627056</v>
      </c>
      <c r="I34" s="11">
        <f t="shared" si="14"/>
        <v>-360.7786826957896</v>
      </c>
      <c r="J34" s="10">
        <f t="shared" si="11"/>
        <v>-526.57747387048096</v>
      </c>
      <c r="K34" s="10">
        <f t="shared" si="1"/>
        <v>143784.89560444537</v>
      </c>
      <c r="L34" s="11">
        <f t="shared" si="2"/>
        <v>-200.70666666666665</v>
      </c>
      <c r="M34" s="11"/>
      <c r="N34" s="11"/>
      <c r="O34" s="11"/>
      <c r="P34" s="11">
        <f t="shared" si="3"/>
        <v>884.34</v>
      </c>
      <c r="Q34" s="12">
        <f t="shared" si="4"/>
        <v>-203.72282323293723</v>
      </c>
      <c r="R34" s="10">
        <f t="shared" si="15"/>
        <v>-107066.33034345403</v>
      </c>
      <c r="S34" s="13">
        <f t="shared" si="5"/>
        <v>258453.74999999997</v>
      </c>
      <c r="T34" s="10">
        <f t="shared" si="6"/>
        <v>143784.89560444537</v>
      </c>
      <c r="U34" s="10">
        <f t="shared" si="18"/>
        <v>7602.5240521005762</v>
      </c>
      <c r="AD34" t="str">
        <f t="shared" si="10"/>
        <v>3-8</v>
      </c>
      <c r="AE34" s="3">
        <f t="shared" si="12"/>
        <v>36529.945947899403</v>
      </c>
      <c r="AF34" s="3">
        <f t="shared" si="13"/>
        <v>27678.720000000001</v>
      </c>
    </row>
    <row r="35" spans="2:32" x14ac:dyDescent="0.25">
      <c r="B35" t="s">
        <v>46</v>
      </c>
      <c r="C35" s="1">
        <v>0.02</v>
      </c>
      <c r="F35" s="2">
        <f t="shared" si="16"/>
        <v>3</v>
      </c>
      <c r="G35" s="2">
        <f t="shared" si="17"/>
        <v>9</v>
      </c>
      <c r="H35" s="10">
        <f t="shared" si="0"/>
        <v>-887.35615656627056</v>
      </c>
      <c r="I35" s="11">
        <f t="shared" si="14"/>
        <v>-359.46223901111341</v>
      </c>
      <c r="J35" s="10">
        <f t="shared" si="11"/>
        <v>-527.89391755515715</v>
      </c>
      <c r="K35" s="10">
        <f t="shared" si="1"/>
        <v>143257.0016868902</v>
      </c>
      <c r="L35" s="11">
        <f t="shared" si="2"/>
        <v>-200.70666666666665</v>
      </c>
      <c r="M35" s="11"/>
      <c r="N35" s="11"/>
      <c r="O35" s="11"/>
      <c r="P35" s="11">
        <f t="shared" si="3"/>
        <v>884.34</v>
      </c>
      <c r="Q35" s="12">
        <f t="shared" si="4"/>
        <v>-203.72282323293723</v>
      </c>
      <c r="R35" s="10">
        <f t="shared" si="15"/>
        <v>-107270.05316668696</v>
      </c>
      <c r="S35" s="13">
        <f t="shared" si="5"/>
        <v>258453.74999999997</v>
      </c>
      <c r="T35" s="10">
        <f t="shared" si="6"/>
        <v>143257.0016868902</v>
      </c>
      <c r="U35" s="10">
        <f t="shared" si="18"/>
        <v>7926.6951464228041</v>
      </c>
      <c r="AD35" t="str">
        <f t="shared" si="10"/>
        <v>3-9</v>
      </c>
      <c r="AE35" s="3">
        <f t="shared" si="12"/>
        <v>37090.114853577186</v>
      </c>
      <c r="AF35" s="3">
        <f t="shared" si="13"/>
        <v>28563.06</v>
      </c>
    </row>
    <row r="36" spans="2:32" x14ac:dyDescent="0.25">
      <c r="C36" s="3"/>
      <c r="F36" s="2">
        <f t="shared" si="16"/>
        <v>3</v>
      </c>
      <c r="G36" s="2">
        <f t="shared" si="17"/>
        <v>10</v>
      </c>
      <c r="H36" s="10">
        <f t="shared" si="0"/>
        <v>-887.35615656627056</v>
      </c>
      <c r="I36" s="11">
        <f t="shared" si="14"/>
        <v>-358.14250421722551</v>
      </c>
      <c r="J36" s="10">
        <f t="shared" si="11"/>
        <v>-529.21365234904511</v>
      </c>
      <c r="K36" s="10">
        <f t="shared" si="1"/>
        <v>142727.78803454115</v>
      </c>
      <c r="L36" s="11">
        <f t="shared" si="2"/>
        <v>-200.70666666666665</v>
      </c>
      <c r="M36" s="11"/>
      <c r="N36" s="11"/>
      <c r="O36" s="11"/>
      <c r="P36" s="11">
        <f t="shared" si="3"/>
        <v>884.34</v>
      </c>
      <c r="Q36" s="12">
        <f t="shared" si="4"/>
        <v>-203.72282323293723</v>
      </c>
      <c r="R36" s="10">
        <f t="shared" si="15"/>
        <v>-107473.7759899199</v>
      </c>
      <c r="S36" s="13">
        <f t="shared" si="5"/>
        <v>258453.74999999997</v>
      </c>
      <c r="T36" s="10">
        <f t="shared" si="6"/>
        <v>142727.78803454115</v>
      </c>
      <c r="U36" s="10">
        <f t="shared" si="18"/>
        <v>8252.185975538916</v>
      </c>
      <c r="AD36" t="str">
        <f t="shared" si="10"/>
        <v>3-10</v>
      </c>
      <c r="AE36" s="3">
        <f t="shared" si="12"/>
        <v>37648.964024461078</v>
      </c>
      <c r="AF36" s="3">
        <f t="shared" si="13"/>
        <v>29447.4</v>
      </c>
    </row>
    <row r="37" spans="2:32" x14ac:dyDescent="0.25">
      <c r="C37" s="3"/>
      <c r="F37" s="2">
        <f t="shared" si="16"/>
        <v>3</v>
      </c>
      <c r="G37" s="2">
        <f t="shared" si="17"/>
        <v>11</v>
      </c>
      <c r="H37" s="10">
        <f t="shared" si="0"/>
        <v>-887.35615656627056</v>
      </c>
      <c r="I37" s="11">
        <f t="shared" si="14"/>
        <v>-356.81947008635291</v>
      </c>
      <c r="J37" s="10">
        <f t="shared" si="11"/>
        <v>-530.53668647991765</v>
      </c>
      <c r="K37" s="10">
        <f t="shared" si="1"/>
        <v>142197.25134806123</v>
      </c>
      <c r="L37" s="11">
        <f t="shared" si="2"/>
        <v>-200.70666666666665</v>
      </c>
      <c r="M37" s="11"/>
      <c r="N37" s="11"/>
      <c r="O37" s="11"/>
      <c r="P37" s="11">
        <f t="shared" si="3"/>
        <v>884.34</v>
      </c>
      <c r="Q37" s="12">
        <f t="shared" si="4"/>
        <v>-203.72282323293723</v>
      </c>
      <c r="R37" s="10">
        <f t="shared" si="15"/>
        <v>-107677.49881315284</v>
      </c>
      <c r="S37" s="13">
        <f t="shared" si="5"/>
        <v>258453.74999999997</v>
      </c>
      <c r="T37" s="10">
        <f t="shared" si="6"/>
        <v>142197.25134806123</v>
      </c>
      <c r="U37" s="10">
        <f t="shared" si="18"/>
        <v>8578.9998387859087</v>
      </c>
      <c r="AD37" t="str">
        <f t="shared" si="10"/>
        <v>3-11</v>
      </c>
      <c r="AE37" s="3">
        <f t="shared" si="12"/>
        <v>38206.490161214097</v>
      </c>
      <c r="AF37" s="3">
        <f t="shared" si="13"/>
        <v>30331.74</v>
      </c>
    </row>
    <row r="38" spans="2:32" x14ac:dyDescent="0.25">
      <c r="B38" s="23" t="s">
        <v>56</v>
      </c>
      <c r="C38" s="3"/>
      <c r="F38" s="2">
        <f t="shared" si="16"/>
        <v>3</v>
      </c>
      <c r="G38" s="2">
        <f t="shared" si="17"/>
        <v>12</v>
      </c>
      <c r="H38" s="10">
        <f t="shared" si="0"/>
        <v>-887.35615656627056</v>
      </c>
      <c r="I38" s="11">
        <f t="shared" si="14"/>
        <v>-355.49312837015304</v>
      </c>
      <c r="J38" s="10">
        <f t="shared" si="11"/>
        <v>-531.86302819611751</v>
      </c>
      <c r="K38" s="10">
        <f t="shared" si="1"/>
        <v>141665.3883198651</v>
      </c>
      <c r="L38" s="11">
        <f t="shared" si="2"/>
        <v>-200.70666666666665</v>
      </c>
      <c r="M38" s="11"/>
      <c r="N38" s="11"/>
      <c r="O38" s="11"/>
      <c r="P38" s="11">
        <f t="shared" si="3"/>
        <v>884.34</v>
      </c>
      <c r="Q38" s="12">
        <f t="shared" si="4"/>
        <v>-203.72282323293723</v>
      </c>
      <c r="R38" s="10">
        <f t="shared" si="15"/>
        <v>-107881.22163638577</v>
      </c>
      <c r="S38" s="13">
        <f t="shared" si="5"/>
        <v>258453.74999999997</v>
      </c>
      <c r="T38" s="10">
        <f t="shared" si="6"/>
        <v>141665.3883198651</v>
      </c>
      <c r="U38" s="10">
        <f t="shared" si="18"/>
        <v>8907.1400437490956</v>
      </c>
      <c r="AD38" t="str">
        <f t="shared" si="10"/>
        <v>3-12</v>
      </c>
      <c r="AE38" s="3">
        <f t="shared" si="12"/>
        <v>38762.689956250913</v>
      </c>
      <c r="AF38" s="3">
        <f t="shared" si="13"/>
        <v>31216.080000000002</v>
      </c>
    </row>
    <row r="39" spans="2:32" x14ac:dyDescent="0.25">
      <c r="B39" t="s">
        <v>57</v>
      </c>
      <c r="C39" s="24">
        <f>C5*C4</f>
        <v>18000</v>
      </c>
      <c r="F39" s="2">
        <f t="shared" si="16"/>
        <v>4</v>
      </c>
      <c r="G39" s="2">
        <f t="shared" si="17"/>
        <v>1</v>
      </c>
      <c r="H39" s="10">
        <f t="shared" si="0"/>
        <v>-887.35615656627056</v>
      </c>
      <c r="I39" s="11">
        <f t="shared" si="14"/>
        <v>-354.16347079966278</v>
      </c>
      <c r="J39" s="10">
        <f t="shared" si="11"/>
        <v>-533.19268576660784</v>
      </c>
      <c r="K39" s="10">
        <f t="shared" si="1"/>
        <v>141132.19563409849</v>
      </c>
      <c r="L39" s="11">
        <f t="shared" si="2"/>
        <v>-202.78746666666666</v>
      </c>
      <c r="M39" s="11"/>
      <c r="N39" s="11"/>
      <c r="O39" s="11"/>
      <c r="P39" s="11">
        <f t="shared" si="3"/>
        <v>902.02679999999998</v>
      </c>
      <c r="Q39" s="12">
        <f t="shared" si="4"/>
        <v>-188.11682323293724</v>
      </c>
      <c r="R39" s="10">
        <f t="shared" si="15"/>
        <v>-108069.33845961871</v>
      </c>
      <c r="S39" s="13">
        <f t="shared" si="5"/>
        <v>264915.09374999994</v>
      </c>
      <c r="T39" s="10">
        <f t="shared" si="6"/>
        <v>141132.19563409849</v>
      </c>
      <c r="U39" s="10">
        <f t="shared" si="18"/>
        <v>15713.559656282741</v>
      </c>
      <c r="AD39" t="str">
        <f t="shared" si="10"/>
        <v>4-1</v>
      </c>
      <c r="AE39" s="3">
        <f t="shared" si="12"/>
        <v>39319.640893717245</v>
      </c>
      <c r="AF39" s="3">
        <f t="shared" si="13"/>
        <v>32118.106800000001</v>
      </c>
    </row>
    <row r="40" spans="2:32" x14ac:dyDescent="0.25">
      <c r="B40" t="s">
        <v>58</v>
      </c>
      <c r="C40" s="24">
        <f>-SUM(I:I)</f>
        <v>52965.477575901125</v>
      </c>
      <c r="F40" s="2">
        <f t="shared" si="16"/>
        <v>4</v>
      </c>
      <c r="G40" s="2">
        <f t="shared" si="17"/>
        <v>2</v>
      </c>
      <c r="H40" s="10">
        <f t="shared" si="0"/>
        <v>-887.35615656627056</v>
      </c>
      <c r="I40" s="11">
        <f t="shared" si="14"/>
        <v>-352.83048908524626</v>
      </c>
      <c r="J40" s="10">
        <f t="shared" si="11"/>
        <v>-534.52566748102436</v>
      </c>
      <c r="K40" s="10">
        <f t="shared" si="1"/>
        <v>140597.66996661745</v>
      </c>
      <c r="L40" s="11">
        <f t="shared" si="2"/>
        <v>-202.78746666666666</v>
      </c>
      <c r="M40" s="11"/>
      <c r="N40" s="11"/>
      <c r="O40" s="11"/>
      <c r="P40" s="11">
        <f t="shared" si="3"/>
        <v>902.02679999999998</v>
      </c>
      <c r="Q40" s="12">
        <f t="shared" si="4"/>
        <v>-188.11682323293724</v>
      </c>
      <c r="R40" s="10">
        <f t="shared" si="15"/>
        <v>-108257.45528285165</v>
      </c>
      <c r="S40" s="13">
        <f t="shared" si="5"/>
        <v>264915.09374999994</v>
      </c>
      <c r="T40" s="10">
        <f t="shared" si="6"/>
        <v>140597.66996661745</v>
      </c>
      <c r="U40" s="10">
        <f t="shared" si="18"/>
        <v>16059.968500530842</v>
      </c>
      <c r="AD40" t="str">
        <f t="shared" si="10"/>
        <v>4-2</v>
      </c>
      <c r="AE40" s="3">
        <f t="shared" si="12"/>
        <v>39875.258849469159</v>
      </c>
      <c r="AF40" s="3">
        <f t="shared" si="13"/>
        <v>33020.133600000001</v>
      </c>
    </row>
    <row r="41" spans="2:32" x14ac:dyDescent="0.25">
      <c r="B41" t="s">
        <v>59</v>
      </c>
      <c r="C41" s="24">
        <f>-SUM(L:L)</f>
        <v>52356.843758701223</v>
      </c>
      <c r="F41" s="2">
        <f t="shared" si="16"/>
        <v>4</v>
      </c>
      <c r="G41" s="2">
        <f t="shared" si="17"/>
        <v>3</v>
      </c>
      <c r="H41" s="10">
        <f t="shared" si="0"/>
        <v>-887.35615656627056</v>
      </c>
      <c r="I41" s="11">
        <f t="shared" si="14"/>
        <v>-351.49417491654361</v>
      </c>
      <c r="J41" s="10">
        <f t="shared" si="11"/>
        <v>-535.86198164972689</v>
      </c>
      <c r="K41" s="10">
        <f t="shared" si="1"/>
        <v>140061.80798496772</v>
      </c>
      <c r="L41" s="11">
        <f t="shared" si="2"/>
        <v>-202.78746666666666</v>
      </c>
      <c r="M41" s="11"/>
      <c r="N41" s="11"/>
      <c r="O41" s="11"/>
      <c r="P41" s="11">
        <f t="shared" si="3"/>
        <v>902.02679999999998</v>
      </c>
      <c r="Q41" s="12">
        <f t="shared" si="4"/>
        <v>-188.11682323293724</v>
      </c>
      <c r="R41" s="10">
        <f t="shared" si="15"/>
        <v>-108445.57210608458</v>
      </c>
      <c r="S41" s="13">
        <f t="shared" si="5"/>
        <v>264915.09374999994</v>
      </c>
      <c r="T41" s="10">
        <f t="shared" si="6"/>
        <v>140061.80798496772</v>
      </c>
      <c r="U41" s="10">
        <f t="shared" si="18"/>
        <v>16407.713658947643</v>
      </c>
      <c r="AD41" t="str">
        <f t="shared" si="10"/>
        <v>4-3</v>
      </c>
      <c r="AE41" s="3">
        <f t="shared" si="12"/>
        <v>40429.540491052372</v>
      </c>
      <c r="AF41" s="3">
        <f t="shared" si="13"/>
        <v>33922.160400000001</v>
      </c>
    </row>
    <row r="42" spans="2:32" x14ac:dyDescent="0.25">
      <c r="B42" t="s">
        <v>66</v>
      </c>
      <c r="C42" s="24">
        <f>$C$22*$C$4</f>
        <v>12000</v>
      </c>
      <c r="F42" s="2">
        <f t="shared" si="16"/>
        <v>4</v>
      </c>
      <c r="G42" s="2">
        <f t="shared" si="17"/>
        <v>4</v>
      </c>
      <c r="H42" s="10">
        <f t="shared" si="0"/>
        <v>-887.35615656627056</v>
      </c>
      <c r="I42" s="11">
        <f t="shared" si="14"/>
        <v>-350.15451996241927</v>
      </c>
      <c r="J42" s="10">
        <f t="shared" si="11"/>
        <v>-537.20163660385128</v>
      </c>
      <c r="K42" s="10">
        <f t="shared" si="1"/>
        <v>139524.60634836386</v>
      </c>
      <c r="L42" s="11">
        <f t="shared" si="2"/>
        <v>-202.78746666666666</v>
      </c>
      <c r="M42" s="11"/>
      <c r="N42" s="11"/>
      <c r="O42" s="11"/>
      <c r="P42" s="11">
        <f t="shared" si="3"/>
        <v>902.02679999999998</v>
      </c>
      <c r="Q42" s="12">
        <f t="shared" si="4"/>
        <v>-188.11682323293724</v>
      </c>
      <c r="R42" s="10">
        <f t="shared" si="15"/>
        <v>-108633.68892931752</v>
      </c>
      <c r="S42" s="13">
        <f t="shared" si="5"/>
        <v>264915.09374999994</v>
      </c>
      <c r="T42" s="10">
        <f t="shared" si="6"/>
        <v>139524.60634836386</v>
      </c>
      <c r="U42" s="10">
        <f t="shared" si="18"/>
        <v>16756.798472318565</v>
      </c>
      <c r="AD42" t="str">
        <f t="shared" si="10"/>
        <v>4-4</v>
      </c>
      <c r="AE42" s="3">
        <f t="shared" si="12"/>
        <v>40982.482477681457</v>
      </c>
      <c r="AF42" s="3">
        <f t="shared" si="13"/>
        <v>34824.1872</v>
      </c>
    </row>
    <row r="43" spans="2:32" x14ac:dyDescent="0.25">
      <c r="B43" s="27" t="s">
        <v>14</v>
      </c>
      <c r="C43" s="28">
        <f>SUM(C39:C42)</f>
        <v>135322.32133460234</v>
      </c>
      <c r="F43" s="2">
        <f t="shared" si="16"/>
        <v>4</v>
      </c>
      <c r="G43" s="2">
        <f t="shared" si="17"/>
        <v>5</v>
      </c>
      <c r="H43" s="10">
        <f t="shared" si="0"/>
        <v>-887.35615656627056</v>
      </c>
      <c r="I43" s="11">
        <f t="shared" si="14"/>
        <v>-348.81151587090966</v>
      </c>
      <c r="J43" s="10">
        <f t="shared" si="11"/>
        <v>-538.54464069536084</v>
      </c>
      <c r="K43" s="10">
        <f t="shared" si="1"/>
        <v>138986.0617076685</v>
      </c>
      <c r="L43" s="11">
        <f t="shared" si="2"/>
        <v>-202.78746666666666</v>
      </c>
      <c r="M43" s="11"/>
      <c r="N43" s="11"/>
      <c r="O43" s="11"/>
      <c r="P43" s="11">
        <f t="shared" si="3"/>
        <v>902.02679999999998</v>
      </c>
      <c r="Q43" s="12">
        <f t="shared" si="4"/>
        <v>-188.11682323293724</v>
      </c>
      <c r="R43" s="10">
        <f t="shared" si="15"/>
        <v>-108821.80575255046</v>
      </c>
      <c r="S43" s="13">
        <f t="shared" si="5"/>
        <v>264915.09374999994</v>
      </c>
      <c r="T43" s="10">
        <f t="shared" si="6"/>
        <v>138986.0617076685</v>
      </c>
      <c r="U43" s="10">
        <f t="shared" si="18"/>
        <v>17107.226289780985</v>
      </c>
      <c r="AD43" t="str">
        <f t="shared" si="10"/>
        <v>4-5</v>
      </c>
      <c r="AE43" s="3">
        <f t="shared" si="12"/>
        <v>41534.081460219037</v>
      </c>
      <c r="AF43" s="3">
        <f t="shared" si="13"/>
        <v>35726.214</v>
      </c>
    </row>
    <row r="44" spans="2:32" x14ac:dyDescent="0.25">
      <c r="B44" s="27" t="s">
        <v>64</v>
      </c>
      <c r="C44" s="29">
        <f>C43/C4</f>
        <v>0.5638430055608431</v>
      </c>
      <c r="F44" s="2">
        <f t="shared" si="16"/>
        <v>4</v>
      </c>
      <c r="G44" s="2">
        <f t="shared" si="17"/>
        <v>6</v>
      </c>
      <c r="H44" s="10">
        <f t="shared" si="0"/>
        <v>-887.35615656627056</v>
      </c>
      <c r="I44" s="11">
        <f t="shared" si="14"/>
        <v>-347.46515426917125</v>
      </c>
      <c r="J44" s="10">
        <f t="shared" si="11"/>
        <v>-539.89100229709925</v>
      </c>
      <c r="K44" s="10">
        <f t="shared" si="1"/>
        <v>138446.17070537139</v>
      </c>
      <c r="L44" s="11">
        <f t="shared" si="2"/>
        <v>-202.78746666666666</v>
      </c>
      <c r="M44" s="11"/>
      <c r="N44" s="11"/>
      <c r="O44" s="11"/>
      <c r="P44" s="11">
        <f t="shared" si="3"/>
        <v>902.02679999999998</v>
      </c>
      <c r="Q44" s="12">
        <f t="shared" si="4"/>
        <v>-188.11682323293724</v>
      </c>
      <c r="R44" s="10">
        <f t="shared" si="15"/>
        <v>-109009.92257578339</v>
      </c>
      <c r="S44" s="13">
        <f t="shared" si="5"/>
        <v>264915.09374999994</v>
      </c>
      <c r="T44" s="10">
        <f t="shared" si="6"/>
        <v>138446.17070537139</v>
      </c>
      <c r="U44" s="10">
        <f t="shared" si="18"/>
        <v>17459.000468845159</v>
      </c>
      <c r="AD44" t="str">
        <f t="shared" si="10"/>
        <v>4-6</v>
      </c>
      <c r="AE44" s="3">
        <f t="shared" si="12"/>
        <v>42084.334081154877</v>
      </c>
      <c r="AF44" s="3">
        <f t="shared" si="13"/>
        <v>36628.2408</v>
      </c>
    </row>
    <row r="45" spans="2:32" x14ac:dyDescent="0.25">
      <c r="C45" s="3"/>
      <c r="F45" s="2">
        <f t="shared" si="16"/>
        <v>4</v>
      </c>
      <c r="G45" s="2">
        <f t="shared" si="17"/>
        <v>7</v>
      </c>
      <c r="H45" s="10">
        <f t="shared" si="0"/>
        <v>-887.35615656627056</v>
      </c>
      <c r="I45" s="11">
        <f t="shared" si="14"/>
        <v>-346.1154267634285</v>
      </c>
      <c r="J45" s="10">
        <f t="shared" si="11"/>
        <v>-541.240729802842</v>
      </c>
      <c r="K45" s="10">
        <f t="shared" si="1"/>
        <v>137904.92997556855</v>
      </c>
      <c r="L45" s="11">
        <f t="shared" si="2"/>
        <v>-202.78746666666666</v>
      </c>
      <c r="M45" s="11"/>
      <c r="N45" s="11"/>
      <c r="O45" s="11"/>
      <c r="P45" s="11">
        <f t="shared" si="3"/>
        <v>902.02679999999998</v>
      </c>
      <c r="Q45" s="12">
        <f t="shared" si="4"/>
        <v>-188.11682323293724</v>
      </c>
      <c r="R45" s="10">
        <f t="shared" si="15"/>
        <v>-109198.03939901633</v>
      </c>
      <c r="S45" s="13">
        <f t="shared" si="5"/>
        <v>264915.09374999994</v>
      </c>
      <c r="T45" s="10">
        <f t="shared" si="6"/>
        <v>137904.92997556855</v>
      </c>
      <c r="U45" s="10">
        <f t="shared" si="18"/>
        <v>17812.124375415064</v>
      </c>
      <c r="AD45" t="str">
        <f t="shared" si="10"/>
        <v>4-7</v>
      </c>
      <c r="AE45" s="3">
        <f t="shared" si="12"/>
        <v>42633.236974584972</v>
      </c>
      <c r="AF45" s="3">
        <f t="shared" si="13"/>
        <v>37530.267599999999</v>
      </c>
    </row>
    <row r="46" spans="2:32" x14ac:dyDescent="0.25">
      <c r="B46" t="s">
        <v>60</v>
      </c>
      <c r="C46" s="3"/>
      <c r="F46" s="2">
        <f t="shared" si="16"/>
        <v>4</v>
      </c>
      <c r="G46" s="2">
        <f t="shared" si="17"/>
        <v>8</v>
      </c>
      <c r="H46" s="10">
        <f t="shared" si="0"/>
        <v>-887.35615656627056</v>
      </c>
      <c r="I46" s="11">
        <f t="shared" si="14"/>
        <v>-344.76232493892138</v>
      </c>
      <c r="J46" s="10">
        <f t="shared" si="11"/>
        <v>-542.59383162734912</v>
      </c>
      <c r="K46" s="10">
        <f t="shared" si="1"/>
        <v>137362.33614394121</v>
      </c>
      <c r="L46" s="11">
        <f t="shared" si="2"/>
        <v>-202.78746666666666</v>
      </c>
      <c r="M46" s="11"/>
      <c r="N46" s="11"/>
      <c r="O46" s="11"/>
      <c r="P46" s="11">
        <f t="shared" si="3"/>
        <v>902.02679999999998</v>
      </c>
      <c r="Q46" s="12">
        <f t="shared" si="4"/>
        <v>-188.11682323293724</v>
      </c>
      <c r="R46" s="10">
        <f t="shared" si="15"/>
        <v>-109386.15622224926</v>
      </c>
      <c r="S46" s="13">
        <f t="shared" si="5"/>
        <v>264915.09374999994</v>
      </c>
      <c r="T46" s="10">
        <f t="shared" si="6"/>
        <v>137362.33614394121</v>
      </c>
      <c r="U46" s="10">
        <f t="shared" si="18"/>
        <v>18166.601383809466</v>
      </c>
      <c r="AD46" t="str">
        <f t="shared" si="10"/>
        <v>4-8</v>
      </c>
      <c r="AE46" s="3">
        <f t="shared" si="12"/>
        <v>43180.786766190562</v>
      </c>
      <c r="AF46" s="3">
        <f t="shared" si="13"/>
        <v>38432.294399999999</v>
      </c>
    </row>
    <row r="47" spans="2:32" x14ac:dyDescent="0.25">
      <c r="C47" s="3"/>
      <c r="F47" s="2">
        <f t="shared" si="16"/>
        <v>4</v>
      </c>
      <c r="G47" s="2">
        <f t="shared" si="17"/>
        <v>9</v>
      </c>
      <c r="H47" s="10">
        <f t="shared" si="0"/>
        <v>-887.35615656627056</v>
      </c>
      <c r="I47" s="11">
        <f t="shared" si="14"/>
        <v>-343.40584035985302</v>
      </c>
      <c r="J47" s="10">
        <f t="shared" si="11"/>
        <v>-543.95031620641748</v>
      </c>
      <c r="K47" s="10">
        <f t="shared" si="1"/>
        <v>136818.3858277348</v>
      </c>
      <c r="L47" s="11">
        <f t="shared" si="2"/>
        <v>-202.78746666666666</v>
      </c>
      <c r="M47" s="11"/>
      <c r="N47" s="11"/>
      <c r="O47" s="11"/>
      <c r="P47" s="11">
        <f t="shared" si="3"/>
        <v>902.02679999999998</v>
      </c>
      <c r="Q47" s="12">
        <f t="shared" si="4"/>
        <v>-188.11682323293724</v>
      </c>
      <c r="R47" s="10">
        <f t="shared" si="15"/>
        <v>-109574.2730454822</v>
      </c>
      <c r="S47" s="13">
        <f t="shared" si="5"/>
        <v>264915.09374999994</v>
      </c>
      <c r="T47" s="10">
        <f t="shared" si="6"/>
        <v>136818.3858277348</v>
      </c>
      <c r="U47" s="10">
        <f t="shared" si="18"/>
        <v>18522.434876782936</v>
      </c>
      <c r="AD47" t="str">
        <f t="shared" si="10"/>
        <v>4-9</v>
      </c>
      <c r="AE47" s="3">
        <f t="shared" si="12"/>
        <v>43726.980073217084</v>
      </c>
      <c r="AF47" s="3">
        <f t="shared" si="13"/>
        <v>39334.321199999998</v>
      </c>
    </row>
    <row r="48" spans="2:32" x14ac:dyDescent="0.25">
      <c r="B48" t="s">
        <v>62</v>
      </c>
      <c r="C48" s="24">
        <f>C4+C43</f>
        <v>375322.32133460231</v>
      </c>
      <c r="F48" s="2">
        <f t="shared" si="16"/>
        <v>4</v>
      </c>
      <c r="G48" s="2">
        <f t="shared" si="17"/>
        <v>10</v>
      </c>
      <c r="H48" s="10">
        <f t="shared" si="0"/>
        <v>-887.35615656627056</v>
      </c>
      <c r="I48" s="11">
        <f t="shared" si="14"/>
        <v>-342.045964569337</v>
      </c>
      <c r="J48" s="10">
        <f t="shared" si="11"/>
        <v>-545.31019199693355</v>
      </c>
      <c r="K48" s="10">
        <f t="shared" si="1"/>
        <v>136273.07563573789</v>
      </c>
      <c r="L48" s="11">
        <f t="shared" si="2"/>
        <v>-202.78746666666666</v>
      </c>
      <c r="M48" s="11"/>
      <c r="N48" s="11"/>
      <c r="O48" s="11"/>
      <c r="P48" s="11">
        <f t="shared" si="3"/>
        <v>902.02679999999998</v>
      </c>
      <c r="Q48" s="12">
        <f t="shared" si="4"/>
        <v>-188.11682323293724</v>
      </c>
      <c r="R48" s="10">
        <f t="shared" si="15"/>
        <v>-109762.38986871514</v>
      </c>
      <c r="S48" s="13">
        <f t="shared" si="5"/>
        <v>264915.09374999994</v>
      </c>
      <c r="T48" s="10">
        <f t="shared" si="6"/>
        <v>136273.07563573789</v>
      </c>
      <c r="U48" s="10">
        <f t="shared" si="18"/>
        <v>18879.628245546919</v>
      </c>
      <c r="AD48" t="str">
        <f t="shared" si="10"/>
        <v>4-10</v>
      </c>
      <c r="AE48" s="3">
        <f t="shared" si="12"/>
        <v>44271.813504453086</v>
      </c>
      <c r="AF48" s="3">
        <f t="shared" si="13"/>
        <v>40236.347999999998</v>
      </c>
    </row>
    <row r="49" spans="2:32" x14ac:dyDescent="0.25">
      <c r="B49" t="s">
        <v>63</v>
      </c>
      <c r="C49" s="26">
        <f>(C48/C4)^(1/20)-1</f>
        <v>2.2609110574866476E-2</v>
      </c>
      <c r="F49" s="2">
        <f t="shared" si="16"/>
        <v>4</v>
      </c>
      <c r="G49" s="2">
        <f t="shared" si="17"/>
        <v>11</v>
      </c>
      <c r="H49" s="10">
        <f t="shared" si="0"/>
        <v>-887.35615656627056</v>
      </c>
      <c r="I49" s="11">
        <f t="shared" si="14"/>
        <v>-340.68268908934471</v>
      </c>
      <c r="J49" s="10">
        <f t="shared" si="11"/>
        <v>-546.67346747692591</v>
      </c>
      <c r="K49" s="10">
        <f t="shared" si="1"/>
        <v>135726.40216826095</v>
      </c>
      <c r="L49" s="11">
        <f t="shared" si="2"/>
        <v>-202.78746666666666</v>
      </c>
      <c r="M49" s="11"/>
      <c r="N49" s="11"/>
      <c r="O49" s="11"/>
      <c r="P49" s="11">
        <f t="shared" si="3"/>
        <v>902.02679999999998</v>
      </c>
      <c r="Q49" s="12">
        <f t="shared" si="4"/>
        <v>-188.11682323293724</v>
      </c>
      <c r="R49" s="10">
        <f t="shared" si="15"/>
        <v>-109950.50669194807</v>
      </c>
      <c r="S49" s="13">
        <f t="shared" si="5"/>
        <v>264915.09374999994</v>
      </c>
      <c r="T49" s="10">
        <f t="shared" si="6"/>
        <v>135726.40216826095</v>
      </c>
      <c r="U49" s="10">
        <f t="shared" si="18"/>
        <v>19238.184889790922</v>
      </c>
      <c r="AD49" t="str">
        <f t="shared" si="10"/>
        <v>4-11</v>
      </c>
      <c r="AE49" s="3">
        <f t="shared" si="12"/>
        <v>44815.283660209097</v>
      </c>
      <c r="AF49" s="3">
        <f t="shared" si="13"/>
        <v>41138.374799999998</v>
      </c>
    </row>
    <row r="50" spans="2:32" x14ac:dyDescent="0.25">
      <c r="F50" s="2">
        <f t="shared" si="16"/>
        <v>4</v>
      </c>
      <c r="G50" s="2">
        <f t="shared" si="17"/>
        <v>12</v>
      </c>
      <c r="H50" s="10">
        <f t="shared" si="0"/>
        <v>-887.35615656627056</v>
      </c>
      <c r="I50" s="11">
        <f t="shared" si="14"/>
        <v>-339.31600542065235</v>
      </c>
      <c r="J50" s="10">
        <f t="shared" si="11"/>
        <v>-548.04015114561821</v>
      </c>
      <c r="K50" s="10">
        <f t="shared" si="1"/>
        <v>135178.36201711532</v>
      </c>
      <c r="L50" s="11">
        <f t="shared" si="2"/>
        <v>-202.78746666666666</v>
      </c>
      <c r="M50" s="11"/>
      <c r="N50" s="11"/>
      <c r="O50" s="11"/>
      <c r="P50" s="11">
        <f t="shared" si="3"/>
        <v>902.02679999999998</v>
      </c>
      <c r="Q50" s="12">
        <f t="shared" si="4"/>
        <v>-188.11682323293724</v>
      </c>
      <c r="R50" s="10">
        <f t="shared" si="15"/>
        <v>-110138.62351518101</v>
      </c>
      <c r="S50" s="13">
        <f t="shared" si="5"/>
        <v>264915.09374999994</v>
      </c>
      <c r="T50" s="10">
        <f t="shared" si="6"/>
        <v>135178.36201711532</v>
      </c>
      <c r="U50" s="10">
        <f t="shared" si="18"/>
        <v>19598.108217703615</v>
      </c>
      <c r="AD50" t="str">
        <f t="shared" si="10"/>
        <v>4-12</v>
      </c>
      <c r="AE50" s="3">
        <f t="shared" si="12"/>
        <v>45357.387132296419</v>
      </c>
      <c r="AF50" s="3">
        <f t="shared" si="13"/>
        <v>42040.401599999997</v>
      </c>
    </row>
    <row r="51" spans="2:32" x14ac:dyDescent="0.25">
      <c r="F51" s="2">
        <f t="shared" si="16"/>
        <v>5</v>
      </c>
      <c r="G51" s="2">
        <f t="shared" si="17"/>
        <v>1</v>
      </c>
      <c r="H51" s="10">
        <f t="shared" si="0"/>
        <v>-887.35615656627056</v>
      </c>
      <c r="I51" s="11">
        <f t="shared" si="14"/>
        <v>-337.9459050427883</v>
      </c>
      <c r="J51" s="10">
        <f t="shared" si="11"/>
        <v>-549.4102515234822</v>
      </c>
      <c r="K51" s="10">
        <f t="shared" si="1"/>
        <v>134628.95176559183</v>
      </c>
      <c r="L51" s="11">
        <f t="shared" si="2"/>
        <v>-204.90988266666665</v>
      </c>
      <c r="M51" s="11"/>
      <c r="N51" s="11"/>
      <c r="O51" s="11"/>
      <c r="P51" s="11">
        <f t="shared" si="3"/>
        <v>920.06733599999995</v>
      </c>
      <c r="Q51" s="12">
        <f t="shared" si="4"/>
        <v>-172.19870323293719</v>
      </c>
      <c r="R51" s="10">
        <f t="shared" si="15"/>
        <v>-110310.82221841394</v>
      </c>
      <c r="S51" s="13">
        <f t="shared" si="5"/>
        <v>271537.97109374992</v>
      </c>
      <c r="T51" s="10">
        <f t="shared" si="6"/>
        <v>134628.95176559183</v>
      </c>
      <c r="U51" s="10">
        <f t="shared" si="18"/>
        <v>26598.197109744142</v>
      </c>
      <c r="AD51" t="str">
        <f t="shared" si="10"/>
        <v>5-1</v>
      </c>
      <c r="AE51" s="3">
        <f t="shared" si="12"/>
        <v>45900.242920005876</v>
      </c>
      <c r="AF51" s="3">
        <f t="shared" si="13"/>
        <v>42960.468935999997</v>
      </c>
    </row>
    <row r="52" spans="2:32" x14ac:dyDescent="0.25">
      <c r="F52" s="2">
        <f t="shared" si="16"/>
        <v>5</v>
      </c>
      <c r="G52" s="2">
        <f t="shared" si="17"/>
        <v>2</v>
      </c>
      <c r="H52" s="10">
        <f t="shared" si="0"/>
        <v>-887.35615656627056</v>
      </c>
      <c r="I52" s="11">
        <f t="shared" si="14"/>
        <v>-336.5723794139796</v>
      </c>
      <c r="J52" s="10">
        <f t="shared" si="11"/>
        <v>-550.7837771522909</v>
      </c>
      <c r="K52" s="10">
        <f t="shared" si="1"/>
        <v>134078.16798843953</v>
      </c>
      <c r="L52" s="11">
        <f t="shared" si="2"/>
        <v>-204.90988266666665</v>
      </c>
      <c r="M52" s="11"/>
      <c r="N52" s="11"/>
      <c r="O52" s="11"/>
      <c r="P52" s="11">
        <f t="shared" si="3"/>
        <v>920.06733599999995</v>
      </c>
      <c r="Q52" s="12">
        <f t="shared" si="4"/>
        <v>-172.19870323293719</v>
      </c>
      <c r="R52" s="10">
        <f t="shared" si="15"/>
        <v>-110483.02092164688</v>
      </c>
      <c r="S52" s="13">
        <f t="shared" si="5"/>
        <v>271537.97109374992</v>
      </c>
      <c r="T52" s="10">
        <f t="shared" si="6"/>
        <v>134078.16798843953</v>
      </c>
      <c r="U52" s="10">
        <f t="shared" si="18"/>
        <v>26976.782183663512</v>
      </c>
      <c r="AD52" t="str">
        <f t="shared" si="10"/>
        <v>5-2</v>
      </c>
      <c r="AE52" s="3">
        <f t="shared" si="12"/>
        <v>46441.72518208652</v>
      </c>
      <c r="AF52" s="3">
        <f t="shared" si="13"/>
        <v>43880.536271999998</v>
      </c>
    </row>
    <row r="53" spans="2:32" x14ac:dyDescent="0.25">
      <c r="F53" s="2">
        <f t="shared" si="16"/>
        <v>5</v>
      </c>
      <c r="G53" s="2">
        <f t="shared" si="17"/>
        <v>3</v>
      </c>
      <c r="H53" s="10">
        <f t="shared" si="0"/>
        <v>-887.35615656627056</v>
      </c>
      <c r="I53" s="11">
        <f t="shared" si="14"/>
        <v>-335.19541997109883</v>
      </c>
      <c r="J53" s="10">
        <f t="shared" si="11"/>
        <v>-552.16073659517178</v>
      </c>
      <c r="K53" s="10">
        <f t="shared" si="1"/>
        <v>133526.00725184436</v>
      </c>
      <c r="L53" s="11">
        <f t="shared" si="2"/>
        <v>-204.90988266666665</v>
      </c>
      <c r="M53" s="11"/>
      <c r="N53" s="11"/>
      <c r="O53" s="11"/>
      <c r="P53" s="11">
        <f t="shared" si="3"/>
        <v>920.06733599999995</v>
      </c>
      <c r="Q53" s="12">
        <f t="shared" si="4"/>
        <v>-172.19870323293719</v>
      </c>
      <c r="R53" s="10">
        <f t="shared" si="15"/>
        <v>-110655.21962487981</v>
      </c>
      <c r="S53" s="13">
        <f t="shared" si="5"/>
        <v>271537.97109374992</v>
      </c>
      <c r="T53" s="10">
        <f t="shared" si="6"/>
        <v>133526.00725184436</v>
      </c>
      <c r="U53" s="10">
        <f t="shared" si="18"/>
        <v>27356.744217025742</v>
      </c>
      <c r="AD53" t="str">
        <f t="shared" si="10"/>
        <v>5-3</v>
      </c>
      <c r="AE53" s="3">
        <f t="shared" si="12"/>
        <v>46981.830484724283</v>
      </c>
      <c r="AF53" s="3">
        <f t="shared" si="13"/>
        <v>44800.603607999998</v>
      </c>
    </row>
    <row r="54" spans="2:32" x14ac:dyDescent="0.25">
      <c r="F54" s="2">
        <f t="shared" si="16"/>
        <v>5</v>
      </c>
      <c r="G54" s="2">
        <f t="shared" si="17"/>
        <v>4</v>
      </c>
      <c r="H54" s="10">
        <f t="shared" si="0"/>
        <v>-887.35615656627056</v>
      </c>
      <c r="I54" s="11">
        <f t="shared" si="14"/>
        <v>-333.81501812961091</v>
      </c>
      <c r="J54" s="10">
        <f t="shared" si="11"/>
        <v>-553.54113843665959</v>
      </c>
      <c r="K54" s="10">
        <f t="shared" si="1"/>
        <v>132972.46611340772</v>
      </c>
      <c r="L54" s="11">
        <f t="shared" si="2"/>
        <v>-204.90988266666665</v>
      </c>
      <c r="M54" s="11"/>
      <c r="N54" s="11"/>
      <c r="O54" s="11"/>
      <c r="P54" s="11">
        <f t="shared" si="3"/>
        <v>920.06733599999995</v>
      </c>
      <c r="Q54" s="12">
        <f t="shared" si="4"/>
        <v>-172.19870323293719</v>
      </c>
      <c r="R54" s="10">
        <f t="shared" si="15"/>
        <v>-110827.41832811275</v>
      </c>
      <c r="S54" s="13">
        <f t="shared" si="5"/>
        <v>271537.97109374992</v>
      </c>
      <c r="T54" s="10">
        <f t="shared" si="6"/>
        <v>132972.46611340772</v>
      </c>
      <c r="U54" s="10">
        <f t="shared" si="18"/>
        <v>27738.086652229453</v>
      </c>
      <c r="AD54" t="str">
        <f t="shared" si="10"/>
        <v>5-4</v>
      </c>
      <c r="AE54" s="3">
        <f t="shared" si="12"/>
        <v>47520.555385520558</v>
      </c>
      <c r="AF54" s="3">
        <f t="shared" si="13"/>
        <v>45720.670943999998</v>
      </c>
    </row>
    <row r="55" spans="2:32" x14ac:dyDescent="0.25">
      <c r="F55" s="2">
        <f t="shared" si="16"/>
        <v>5</v>
      </c>
      <c r="G55" s="2">
        <f t="shared" si="17"/>
        <v>5</v>
      </c>
      <c r="H55" s="10">
        <f t="shared" si="0"/>
        <v>-887.35615656627056</v>
      </c>
      <c r="I55" s="11">
        <f t="shared" si="14"/>
        <v>-332.43116528351931</v>
      </c>
      <c r="J55" s="10">
        <f t="shared" si="11"/>
        <v>-554.92499128275131</v>
      </c>
      <c r="K55" s="10">
        <f t="shared" si="1"/>
        <v>132417.54112212497</v>
      </c>
      <c r="L55" s="11">
        <f t="shared" si="2"/>
        <v>-204.90988266666665</v>
      </c>
      <c r="M55" s="11"/>
      <c r="N55" s="11"/>
      <c r="O55" s="11"/>
      <c r="P55" s="11">
        <f t="shared" si="3"/>
        <v>920.06733599999995</v>
      </c>
      <c r="Q55" s="12">
        <f t="shared" si="4"/>
        <v>-172.19870323293719</v>
      </c>
      <c r="R55" s="10">
        <f t="shared" si="15"/>
        <v>-110999.61703134568</v>
      </c>
      <c r="S55" s="13">
        <f t="shared" si="5"/>
        <v>271537.97109374992</v>
      </c>
      <c r="T55" s="10">
        <f t="shared" si="6"/>
        <v>132417.54112212497</v>
      </c>
      <c r="U55" s="10">
        <f t="shared" si="18"/>
        <v>28120.812940279269</v>
      </c>
      <c r="AD55" t="str">
        <f t="shared" si="10"/>
        <v>5-5</v>
      </c>
      <c r="AE55" s="3">
        <f t="shared" si="12"/>
        <v>48057.896433470742</v>
      </c>
      <c r="AF55" s="3">
        <f t="shared" si="13"/>
        <v>46640.738279999998</v>
      </c>
    </row>
    <row r="56" spans="2:32" x14ac:dyDescent="0.25">
      <c r="F56" s="2">
        <f t="shared" si="16"/>
        <v>5</v>
      </c>
      <c r="G56" s="2">
        <f t="shared" si="17"/>
        <v>6</v>
      </c>
      <c r="H56" s="10">
        <f t="shared" si="0"/>
        <v>-887.35615656627056</v>
      </c>
      <c r="I56" s="11">
        <f t="shared" si="14"/>
        <v>-331.04385280531244</v>
      </c>
      <c r="J56" s="10">
        <f t="shared" si="11"/>
        <v>-556.31230376095812</v>
      </c>
      <c r="K56" s="10">
        <f t="shared" si="1"/>
        <v>131861.228818364</v>
      </c>
      <c r="L56" s="11">
        <f t="shared" si="2"/>
        <v>-204.90988266666665</v>
      </c>
      <c r="M56" s="11"/>
      <c r="N56" s="11"/>
      <c r="O56" s="11"/>
      <c r="P56" s="11">
        <f t="shared" si="3"/>
        <v>920.06733599999995</v>
      </c>
      <c r="Q56" s="12">
        <f t="shared" si="4"/>
        <v>-172.19870323293719</v>
      </c>
      <c r="R56" s="10">
        <f t="shared" si="15"/>
        <v>-111171.81573457862</v>
      </c>
      <c r="S56" s="13">
        <f t="shared" si="5"/>
        <v>271537.97109374992</v>
      </c>
      <c r="T56" s="10">
        <f t="shared" si="6"/>
        <v>131861.228818364</v>
      </c>
      <c r="U56" s="10">
        <f t="shared" si="18"/>
        <v>28504.926540807297</v>
      </c>
      <c r="AD56" t="str">
        <f t="shared" si="10"/>
        <v>5-6</v>
      </c>
      <c r="AE56" s="3">
        <f t="shared" si="12"/>
        <v>48593.850168942721</v>
      </c>
      <c r="AF56" s="3">
        <f t="shared" si="13"/>
        <v>47560.805615999998</v>
      </c>
    </row>
    <row r="57" spans="2:32" x14ac:dyDescent="0.25">
      <c r="F57" s="2">
        <f t="shared" si="16"/>
        <v>5</v>
      </c>
      <c r="G57" s="2">
        <f t="shared" si="17"/>
        <v>7</v>
      </c>
      <c r="H57" s="10">
        <f t="shared" si="0"/>
        <v>-887.35615656627056</v>
      </c>
      <c r="I57" s="11">
        <f t="shared" si="14"/>
        <v>-329.65307204590999</v>
      </c>
      <c r="J57" s="10">
        <f t="shared" si="11"/>
        <v>-557.70308452036056</v>
      </c>
      <c r="K57" s="10">
        <f t="shared" si="1"/>
        <v>131303.52573384365</v>
      </c>
      <c r="L57" s="11">
        <f t="shared" si="2"/>
        <v>-204.90988266666665</v>
      </c>
      <c r="M57" s="11"/>
      <c r="N57" s="11"/>
      <c r="O57" s="11"/>
      <c r="P57" s="11">
        <f t="shared" si="3"/>
        <v>920.06733599999995</v>
      </c>
      <c r="Q57" s="12">
        <f t="shared" si="4"/>
        <v>-172.19870323293719</v>
      </c>
      <c r="R57" s="10">
        <f t="shared" si="15"/>
        <v>-111344.01443781155</v>
      </c>
      <c r="S57" s="13">
        <f t="shared" si="5"/>
        <v>271537.97109374992</v>
      </c>
      <c r="T57" s="10">
        <f t="shared" si="6"/>
        <v>131303.52573384365</v>
      </c>
      <c r="U57" s="10">
        <f t="shared" si="18"/>
        <v>28890.430922094718</v>
      </c>
      <c r="AD57" t="str">
        <f t="shared" si="10"/>
        <v>5-7</v>
      </c>
      <c r="AE57" s="3">
        <f t="shared" si="12"/>
        <v>49128.4131236553</v>
      </c>
      <c r="AF57" s="3">
        <f t="shared" si="13"/>
        <v>48480.872951999998</v>
      </c>
    </row>
    <row r="58" spans="2:32" x14ac:dyDescent="0.25">
      <c r="F58" s="2">
        <f t="shared" si="16"/>
        <v>5</v>
      </c>
      <c r="G58" s="2">
        <f t="shared" si="17"/>
        <v>8</v>
      </c>
      <c r="H58" s="10">
        <f t="shared" si="0"/>
        <v>-887.35615656627056</v>
      </c>
      <c r="I58" s="11">
        <f t="shared" si="14"/>
        <v>-328.25881433460916</v>
      </c>
      <c r="J58" s="10">
        <f t="shared" si="11"/>
        <v>-559.0973422316614</v>
      </c>
      <c r="K58" s="10">
        <f t="shared" si="1"/>
        <v>130744.42839161199</v>
      </c>
      <c r="L58" s="11">
        <f t="shared" si="2"/>
        <v>-204.90988266666665</v>
      </c>
      <c r="M58" s="11"/>
      <c r="N58" s="11"/>
      <c r="O58" s="11"/>
      <c r="P58" s="11">
        <f t="shared" si="3"/>
        <v>920.06733599999995</v>
      </c>
      <c r="Q58" s="12">
        <f t="shared" si="4"/>
        <v>-172.19870323293719</v>
      </c>
      <c r="R58" s="10">
        <f t="shared" si="15"/>
        <v>-111516.21314104449</v>
      </c>
      <c r="S58" s="13">
        <f t="shared" si="5"/>
        <v>271537.97109374992</v>
      </c>
      <c r="T58" s="10">
        <f t="shared" si="6"/>
        <v>130744.42839161199</v>
      </c>
      <c r="U58" s="10">
        <f t="shared" si="18"/>
        <v>29277.329561093444</v>
      </c>
      <c r="AD58" t="str">
        <f t="shared" si="10"/>
        <v>5-8</v>
      </c>
      <c r="AE58" s="3">
        <f t="shared" si="12"/>
        <v>49661.581820656575</v>
      </c>
      <c r="AF58" s="3">
        <f t="shared" si="13"/>
        <v>49400.940287999998</v>
      </c>
    </row>
    <row r="59" spans="2:32" x14ac:dyDescent="0.25">
      <c r="F59" s="2">
        <f t="shared" si="16"/>
        <v>5</v>
      </c>
      <c r="G59" s="2">
        <f t="shared" si="17"/>
        <v>9</v>
      </c>
      <c r="H59" s="10">
        <f t="shared" si="0"/>
        <v>-887.35615656627056</v>
      </c>
      <c r="I59" s="11">
        <f t="shared" si="14"/>
        <v>-326.86107097902999</v>
      </c>
      <c r="J59" s="10">
        <f t="shared" si="11"/>
        <v>-560.49508558724051</v>
      </c>
      <c r="K59" s="10">
        <f t="shared" si="1"/>
        <v>130183.93330602474</v>
      </c>
      <c r="L59" s="11">
        <f t="shared" si="2"/>
        <v>-204.90988266666665</v>
      </c>
      <c r="M59" s="11"/>
      <c r="N59" s="11"/>
      <c r="O59" s="11"/>
      <c r="P59" s="11">
        <f t="shared" si="3"/>
        <v>920.06733599999995</v>
      </c>
      <c r="Q59" s="12">
        <f t="shared" si="4"/>
        <v>-172.19870323293719</v>
      </c>
      <c r="R59" s="10">
        <f t="shared" si="15"/>
        <v>-111688.41184427742</v>
      </c>
      <c r="S59" s="13">
        <f t="shared" si="5"/>
        <v>271537.97109374992</v>
      </c>
      <c r="T59" s="10">
        <f t="shared" si="6"/>
        <v>130183.93330602474</v>
      </c>
      <c r="U59" s="10">
        <f t="shared" si="18"/>
        <v>29665.62594344774</v>
      </c>
      <c r="AD59" t="str">
        <f t="shared" si="10"/>
        <v>5-9</v>
      </c>
      <c r="AE59" s="3">
        <f t="shared" si="12"/>
        <v>50193.352774302271</v>
      </c>
      <c r="AF59" s="3">
        <f t="shared" si="13"/>
        <v>50321.007623999998</v>
      </c>
    </row>
    <row r="60" spans="2:32" x14ac:dyDescent="0.25">
      <c r="F60" s="2">
        <f t="shared" si="16"/>
        <v>5</v>
      </c>
      <c r="G60" s="2">
        <f t="shared" si="17"/>
        <v>10</v>
      </c>
      <c r="H60" s="10">
        <f t="shared" si="0"/>
        <v>-887.35615656627056</v>
      </c>
      <c r="I60" s="11">
        <f t="shared" si="14"/>
        <v>-325.45983326506189</v>
      </c>
      <c r="J60" s="10">
        <f t="shared" si="11"/>
        <v>-561.89632330120867</v>
      </c>
      <c r="K60" s="10">
        <f t="shared" si="1"/>
        <v>129622.03698272354</v>
      </c>
      <c r="L60" s="11">
        <f t="shared" si="2"/>
        <v>-204.90988266666665</v>
      </c>
      <c r="M60" s="11"/>
      <c r="N60" s="11"/>
      <c r="O60" s="11"/>
      <c r="P60" s="11">
        <f t="shared" si="3"/>
        <v>920.06733599999995</v>
      </c>
      <c r="Q60" s="12">
        <f t="shared" si="4"/>
        <v>-172.19870323293719</v>
      </c>
      <c r="R60" s="10">
        <f t="shared" si="15"/>
        <v>-111860.61054751035</v>
      </c>
      <c r="S60" s="13">
        <f t="shared" si="5"/>
        <v>271537.97109374992</v>
      </c>
      <c r="T60" s="10">
        <f t="shared" si="6"/>
        <v>129622.03698272354</v>
      </c>
      <c r="U60" s="10">
        <f t="shared" si="18"/>
        <v>30055.323563516024</v>
      </c>
      <c r="AD60" t="str">
        <f t="shared" si="10"/>
        <v>5-10</v>
      </c>
      <c r="AE60" s="3">
        <f t="shared" si="12"/>
        <v>50723.722490234002</v>
      </c>
      <c r="AF60" s="3">
        <f t="shared" si="13"/>
        <v>51241.074959999998</v>
      </c>
    </row>
    <row r="61" spans="2:32" x14ac:dyDescent="0.25">
      <c r="F61" s="2">
        <f t="shared" si="16"/>
        <v>5</v>
      </c>
      <c r="G61" s="2">
        <f t="shared" si="17"/>
        <v>11</v>
      </c>
      <c r="H61" s="10">
        <f t="shared" si="0"/>
        <v>-887.35615656627056</v>
      </c>
      <c r="I61" s="11">
        <f t="shared" si="14"/>
        <v>-324.05509245680884</v>
      </c>
      <c r="J61" s="10">
        <f t="shared" si="11"/>
        <v>-563.30106410946178</v>
      </c>
      <c r="K61" s="10">
        <f t="shared" si="1"/>
        <v>129058.73591861408</v>
      </c>
      <c r="L61" s="11">
        <f t="shared" si="2"/>
        <v>-204.90988266666665</v>
      </c>
      <c r="M61" s="11"/>
      <c r="N61" s="11"/>
      <c r="O61" s="11"/>
      <c r="P61" s="11">
        <f t="shared" si="3"/>
        <v>920.06733599999995</v>
      </c>
      <c r="Q61" s="12">
        <f t="shared" si="4"/>
        <v>-172.19870323293719</v>
      </c>
      <c r="R61" s="10">
        <f t="shared" si="15"/>
        <v>-112032.80925074329</v>
      </c>
      <c r="S61" s="13">
        <f t="shared" si="5"/>
        <v>271537.97109374992</v>
      </c>
      <c r="T61" s="10">
        <f>K61</f>
        <v>129058.73591861408</v>
      </c>
      <c r="U61" s="10">
        <f t="shared" si="18"/>
        <v>30446.425924392548</v>
      </c>
      <c r="AD61" t="str">
        <f t="shared" si="10"/>
        <v>5-11</v>
      </c>
      <c r="AE61" s="3">
        <f t="shared" si="12"/>
        <v>51252.687465357478</v>
      </c>
      <c r="AF61" s="3">
        <f t="shared" si="13"/>
        <v>52161.142295999998</v>
      </c>
    </row>
    <row r="62" spans="2:32" x14ac:dyDescent="0.25">
      <c r="F62" s="2">
        <f t="shared" si="16"/>
        <v>5</v>
      </c>
      <c r="G62" s="2">
        <f t="shared" si="17"/>
        <v>12</v>
      </c>
      <c r="H62" s="10">
        <f t="shared" si="0"/>
        <v>-887.35615656627056</v>
      </c>
      <c r="I62" s="11">
        <f t="shared" si="14"/>
        <v>-322.64683979653523</v>
      </c>
      <c r="J62" s="10">
        <f t="shared" si="11"/>
        <v>-564.70931676973532</v>
      </c>
      <c r="K62" s="10">
        <f t="shared" si="1"/>
        <v>128494.02660184435</v>
      </c>
      <c r="L62" s="11">
        <f t="shared" si="2"/>
        <v>-204.90988266666665</v>
      </c>
      <c r="M62" s="11"/>
      <c r="N62" s="11"/>
      <c r="O62" s="11"/>
      <c r="P62" s="11">
        <f t="shared" si="3"/>
        <v>920.06733599999995</v>
      </c>
      <c r="Q62" s="12">
        <f t="shared" si="4"/>
        <v>-172.19870323293719</v>
      </c>
      <c r="R62" s="10">
        <f>R61+Q62</f>
        <v>-112205.00795397622</v>
      </c>
      <c r="S62" s="13">
        <f t="shared" si="5"/>
        <v>271537.97109374992</v>
      </c>
      <c r="T62" s="10">
        <f>K62</f>
        <v>128494.02660184435</v>
      </c>
      <c r="U62" s="10">
        <f t="shared" si="18"/>
        <v>30838.936537929345</v>
      </c>
      <c r="AD62" t="str">
        <f t="shared" si="10"/>
        <v>5-12</v>
      </c>
      <c r="AE62" s="3">
        <f t="shared" si="12"/>
        <v>51780.244187820681</v>
      </c>
      <c r="AF62" s="3">
        <f t="shared" si="13"/>
        <v>53081.209631999998</v>
      </c>
    </row>
    <row r="63" spans="2:32" x14ac:dyDescent="0.25">
      <c r="D63" s="18" t="s">
        <v>43</v>
      </c>
      <c r="F63" s="2">
        <f t="shared" si="16"/>
        <v>6</v>
      </c>
      <c r="G63" s="2">
        <f t="shared" si="17"/>
        <v>1</v>
      </c>
      <c r="H63" s="10">
        <f t="shared" si="0"/>
        <v>-887.35615656627056</v>
      </c>
      <c r="I63" s="11">
        <f t="shared" ref="I63:I122" si="19">-K62*$D$12</f>
        <v>-321.23506650461087</v>
      </c>
      <c r="J63" s="10">
        <f t="shared" ref="J63:J122" si="20">H63-I63</f>
        <v>-566.12109006165974</v>
      </c>
      <c r="K63" s="10">
        <f t="shared" ref="K63:K122" si="21">K62+J63</f>
        <v>127927.90551178269</v>
      </c>
      <c r="L63" s="11">
        <f t="shared" ref="L63:L122" si="22">-($C$15/12+$C$17*$C$11/12+$C$18/12*(1+$C$19)^($F63-1)+$C$20*S63/12)</f>
        <v>-207.07474698666664</v>
      </c>
      <c r="M63" s="11"/>
      <c r="N63" s="11"/>
      <c r="O63" s="11"/>
      <c r="P63" s="11">
        <f t="shared" si="3"/>
        <v>938.46868272000006</v>
      </c>
      <c r="Q63" s="12">
        <f t="shared" si="4"/>
        <v>-155.96222083293719</v>
      </c>
      <c r="R63" s="10">
        <f t="shared" ref="R63:R122" si="23">R62+Q63</f>
        <v>-112360.97017480916</v>
      </c>
      <c r="S63" s="13"/>
      <c r="T63" s="10"/>
      <c r="U63" s="10"/>
      <c r="AD63" t="str">
        <f t="shared" si="10"/>
        <v>6-1</v>
      </c>
      <c r="AE63" s="3">
        <f t="shared" si="12"/>
        <v>52308.554001311961</v>
      </c>
      <c r="AF63" s="3">
        <f t="shared" si="13"/>
        <v>54019.678314719997</v>
      </c>
    </row>
    <row r="64" spans="2:32" x14ac:dyDescent="0.25">
      <c r="F64" s="2">
        <f t="shared" si="16"/>
        <v>6</v>
      </c>
      <c r="G64" s="2">
        <f t="shared" si="17"/>
        <v>2</v>
      </c>
      <c r="H64" s="10">
        <f t="shared" si="0"/>
        <v>-887.35615656627056</v>
      </c>
      <c r="I64" s="11">
        <f t="shared" si="19"/>
        <v>-319.81976377945676</v>
      </c>
      <c r="J64" s="10">
        <f t="shared" si="20"/>
        <v>-567.53639278681385</v>
      </c>
      <c r="K64" s="10">
        <f t="shared" si="21"/>
        <v>127360.36911899588</v>
      </c>
      <c r="L64" s="11">
        <f t="shared" si="22"/>
        <v>-207.07474698666664</v>
      </c>
      <c r="M64" s="11"/>
      <c r="N64" s="11"/>
      <c r="O64" s="11"/>
      <c r="P64" s="11">
        <f t="shared" si="3"/>
        <v>938.46868272000006</v>
      </c>
      <c r="Q64" s="12">
        <f t="shared" si="4"/>
        <v>-155.96222083293719</v>
      </c>
      <c r="R64" s="10">
        <f t="shared" si="23"/>
        <v>-112516.9323956421</v>
      </c>
      <c r="S64" s="13"/>
      <c r="T64" s="10"/>
      <c r="U64" s="10"/>
      <c r="AD64" t="str">
        <f t="shared" si="10"/>
        <v>6-2</v>
      </c>
      <c r="AE64" s="3">
        <f t="shared" si="12"/>
        <v>52835.448512078081</v>
      </c>
      <c r="AF64" s="3">
        <f t="shared" si="13"/>
        <v>54958.146997439995</v>
      </c>
    </row>
    <row r="65" spans="3:32" x14ac:dyDescent="0.25">
      <c r="F65" s="2">
        <f t="shared" si="16"/>
        <v>6</v>
      </c>
      <c r="G65" s="2">
        <f t="shared" si="17"/>
        <v>3</v>
      </c>
      <c r="H65" s="10">
        <f t="shared" si="0"/>
        <v>-887.35615656627056</v>
      </c>
      <c r="I65" s="11">
        <f t="shared" si="19"/>
        <v>-318.40092279748973</v>
      </c>
      <c r="J65" s="10">
        <f t="shared" si="20"/>
        <v>-568.95523376878077</v>
      </c>
      <c r="K65" s="10">
        <f t="shared" si="21"/>
        <v>126791.4138852271</v>
      </c>
      <c r="L65" s="11">
        <f t="shared" si="22"/>
        <v>-207.07474698666664</v>
      </c>
      <c r="M65" s="11"/>
      <c r="N65" s="11"/>
      <c r="O65" s="11"/>
      <c r="P65" s="11">
        <f t="shared" ref="P65:P122" si="24">$C$34*(1+$C$35)^($F65-1)</f>
        <v>938.46868272000006</v>
      </c>
      <c r="Q65" s="12">
        <f t="shared" si="4"/>
        <v>-155.96222083293719</v>
      </c>
      <c r="R65" s="10">
        <f t="shared" si="23"/>
        <v>-112672.89461647504</v>
      </c>
      <c r="S65" s="13"/>
      <c r="T65" s="10"/>
      <c r="U65" s="10"/>
      <c r="AD65" t="str">
        <f t="shared" si="10"/>
        <v>6-3</v>
      </c>
      <c r="AE65" s="3">
        <f t="shared" si="12"/>
        <v>53360.924181862239</v>
      </c>
      <c r="AF65" s="3">
        <f t="shared" si="13"/>
        <v>55896.615680159994</v>
      </c>
    </row>
    <row r="66" spans="3:32" x14ac:dyDescent="0.25">
      <c r="C66" s="3"/>
      <c r="F66" s="2">
        <f t="shared" si="16"/>
        <v>6</v>
      </c>
      <c r="G66" s="2">
        <f t="shared" si="17"/>
        <v>4</v>
      </c>
      <c r="H66" s="10">
        <f t="shared" si="0"/>
        <v>-887.35615656627056</v>
      </c>
      <c r="I66" s="11">
        <f t="shared" si="19"/>
        <v>-316.97853471306775</v>
      </c>
      <c r="J66" s="10">
        <f t="shared" si="20"/>
        <v>-570.37762185320275</v>
      </c>
      <c r="K66" s="10">
        <f t="shared" si="21"/>
        <v>126221.0362633739</v>
      </c>
      <c r="L66" s="11">
        <f t="shared" si="22"/>
        <v>-207.07474698666664</v>
      </c>
      <c r="M66" s="11"/>
      <c r="N66" s="11"/>
      <c r="O66" s="11"/>
      <c r="P66" s="11">
        <f t="shared" si="24"/>
        <v>938.46868272000006</v>
      </c>
      <c r="Q66" s="12">
        <f t="shared" si="4"/>
        <v>-155.96222083293719</v>
      </c>
      <c r="R66" s="10">
        <f t="shared" si="23"/>
        <v>-112828.85683730798</v>
      </c>
      <c r="S66" s="13"/>
      <c r="T66" s="10"/>
      <c r="U66" s="10"/>
      <c r="AD66" t="str">
        <f t="shared" si="10"/>
        <v>6-4</v>
      </c>
      <c r="AE66" s="3">
        <f t="shared" si="12"/>
        <v>53884.977463561976</v>
      </c>
      <c r="AF66" s="3">
        <f t="shared" si="13"/>
        <v>56835.084362879992</v>
      </c>
    </row>
    <row r="67" spans="3:32" x14ac:dyDescent="0.25">
      <c r="C67" s="3"/>
      <c r="F67" s="2">
        <f t="shared" si="16"/>
        <v>6</v>
      </c>
      <c r="G67" s="2">
        <f t="shared" si="17"/>
        <v>5</v>
      </c>
      <c r="H67" s="10">
        <f t="shared" ref="H67:H130" si="25">-$C$14</f>
        <v>-887.35615656627056</v>
      </c>
      <c r="I67" s="11">
        <f t="shared" si="19"/>
        <v>-315.55259065843478</v>
      </c>
      <c r="J67" s="10">
        <f t="shared" si="20"/>
        <v>-571.80356590783572</v>
      </c>
      <c r="K67" s="10">
        <f t="shared" si="21"/>
        <v>125649.23269746607</v>
      </c>
      <c r="L67" s="11">
        <f t="shared" si="22"/>
        <v>-207.07474698666664</v>
      </c>
      <c r="M67" s="11"/>
      <c r="N67" s="11"/>
      <c r="O67" s="11"/>
      <c r="P67" s="11">
        <f t="shared" si="24"/>
        <v>938.46868272000006</v>
      </c>
      <c r="Q67" s="12">
        <f t="shared" si="4"/>
        <v>-155.96222083293719</v>
      </c>
      <c r="R67" s="10">
        <f t="shared" si="23"/>
        <v>-112984.81905814091</v>
      </c>
      <c r="S67" s="13"/>
      <c r="T67" s="10"/>
      <c r="U67" s="10"/>
      <c r="AD67" t="str">
        <f t="shared" si="10"/>
        <v>6-5</v>
      </c>
      <c r="AE67" s="3">
        <f t="shared" si="12"/>
        <v>54407.604801207075</v>
      </c>
      <c r="AF67" s="3">
        <f t="shared" si="13"/>
        <v>57773.553045599991</v>
      </c>
    </row>
    <row r="68" spans="3:32" x14ac:dyDescent="0.25">
      <c r="F68" s="2">
        <f t="shared" si="16"/>
        <v>6</v>
      </c>
      <c r="G68" s="2">
        <f t="shared" si="17"/>
        <v>6</v>
      </c>
      <c r="H68" s="10">
        <f t="shared" si="25"/>
        <v>-887.35615656627056</v>
      </c>
      <c r="I68" s="11">
        <f t="shared" si="19"/>
        <v>-314.12308174366518</v>
      </c>
      <c r="J68" s="10">
        <f t="shared" si="20"/>
        <v>-573.23307482260543</v>
      </c>
      <c r="K68" s="10">
        <f t="shared" si="21"/>
        <v>125075.99962264346</v>
      </c>
      <c r="L68" s="11">
        <f t="shared" si="22"/>
        <v>-207.07474698666664</v>
      </c>
      <c r="M68" s="11"/>
      <c r="N68" s="11"/>
      <c r="O68" s="11"/>
      <c r="P68" s="11">
        <f t="shared" si="24"/>
        <v>938.46868272000006</v>
      </c>
      <c r="Q68" s="12">
        <f t="shared" ref="Q68:Q121" si="26">L68+H68+O68+P68</f>
        <v>-155.96222083293719</v>
      </c>
      <c r="R68" s="10">
        <f t="shared" si="23"/>
        <v>-113140.78127897385</v>
      </c>
      <c r="S68" s="13"/>
      <c r="T68" s="10"/>
      <c r="U68" s="10"/>
      <c r="AD68" t="str">
        <f t="shared" ref="AD68:AD125" si="27">F68&amp;"-"&amp;G68</f>
        <v>6-6</v>
      </c>
      <c r="AE68" s="3">
        <f t="shared" si="12"/>
        <v>54928.802629937403</v>
      </c>
      <c r="AF68" s="3">
        <f t="shared" si="13"/>
        <v>58712.021728319989</v>
      </c>
    </row>
    <row r="69" spans="3:32" x14ac:dyDescent="0.25">
      <c r="F69" s="2">
        <f t="shared" si="16"/>
        <v>6</v>
      </c>
      <c r="G69" s="2">
        <f t="shared" si="17"/>
        <v>7</v>
      </c>
      <c r="H69" s="10">
        <f t="shared" si="25"/>
        <v>-887.35615656627056</v>
      </c>
      <c r="I69" s="11">
        <f t="shared" si="19"/>
        <v>-312.68999905660866</v>
      </c>
      <c r="J69" s="10">
        <f t="shared" si="20"/>
        <v>-574.66615750966184</v>
      </c>
      <c r="K69" s="10">
        <f t="shared" si="21"/>
        <v>124501.33346513379</v>
      </c>
      <c r="L69" s="11">
        <f t="shared" si="22"/>
        <v>-207.07474698666664</v>
      </c>
      <c r="M69" s="11"/>
      <c r="N69" s="11"/>
      <c r="O69" s="11"/>
      <c r="P69" s="11">
        <f t="shared" si="24"/>
        <v>938.46868272000006</v>
      </c>
      <c r="Q69" s="12">
        <f t="shared" si="26"/>
        <v>-155.96222083293719</v>
      </c>
      <c r="R69" s="10">
        <f t="shared" si="23"/>
        <v>-113296.74349980679</v>
      </c>
      <c r="S69" s="13"/>
      <c r="T69" s="10"/>
      <c r="U69" s="10"/>
      <c r="AD69" t="str">
        <f t="shared" si="27"/>
        <v>6-7</v>
      </c>
      <c r="AE69" s="3">
        <f t="shared" ref="AE69:AE125" si="28">AE68-(I69+L69)</f>
        <v>55448.567375980681</v>
      </c>
      <c r="AF69" s="3">
        <f t="shared" ref="AF69:AF132" si="29">AF68+P69</f>
        <v>59650.490411039988</v>
      </c>
    </row>
    <row r="70" spans="3:32" x14ac:dyDescent="0.25">
      <c r="F70" s="2">
        <f t="shared" si="16"/>
        <v>6</v>
      </c>
      <c r="G70" s="2">
        <f t="shared" si="17"/>
        <v>8</v>
      </c>
      <c r="H70" s="10">
        <f t="shared" si="25"/>
        <v>-887.35615656627056</v>
      </c>
      <c r="I70" s="11">
        <f t="shared" si="19"/>
        <v>-311.25333366283451</v>
      </c>
      <c r="J70" s="10">
        <f t="shared" si="20"/>
        <v>-576.10282290343605</v>
      </c>
      <c r="K70" s="10">
        <f t="shared" si="21"/>
        <v>123925.23064223035</v>
      </c>
      <c r="L70" s="11">
        <f t="shared" si="22"/>
        <v>-207.07474698666664</v>
      </c>
      <c r="M70" s="11"/>
      <c r="N70" s="11"/>
      <c r="O70" s="11"/>
      <c r="P70" s="11">
        <f t="shared" si="24"/>
        <v>938.46868272000006</v>
      </c>
      <c r="Q70" s="12">
        <f t="shared" si="26"/>
        <v>-155.96222083293719</v>
      </c>
      <c r="R70" s="10">
        <f t="shared" si="23"/>
        <v>-113452.70572063973</v>
      </c>
      <c r="S70" s="13"/>
      <c r="T70" s="10"/>
      <c r="U70" s="10"/>
      <c r="AD70" t="str">
        <f t="shared" si="27"/>
        <v>6-8</v>
      </c>
      <c r="AE70" s="3">
        <f t="shared" si="28"/>
        <v>55966.895456630184</v>
      </c>
      <c r="AF70" s="3">
        <f t="shared" si="29"/>
        <v>60588.959093759986</v>
      </c>
    </row>
    <row r="71" spans="3:32" x14ac:dyDescent="0.25">
      <c r="F71" s="2">
        <f t="shared" si="16"/>
        <v>6</v>
      </c>
      <c r="G71" s="2">
        <f t="shared" si="17"/>
        <v>9</v>
      </c>
      <c r="H71" s="10">
        <f t="shared" si="25"/>
        <v>-887.35615656627056</v>
      </c>
      <c r="I71" s="11">
        <f t="shared" si="19"/>
        <v>-309.81307660557587</v>
      </c>
      <c r="J71" s="10">
        <f t="shared" si="20"/>
        <v>-577.54307996069474</v>
      </c>
      <c r="K71" s="10">
        <f t="shared" si="21"/>
        <v>123347.68756226965</v>
      </c>
      <c r="L71" s="11">
        <f t="shared" si="22"/>
        <v>-207.07474698666664</v>
      </c>
      <c r="M71" s="11"/>
      <c r="N71" s="11"/>
      <c r="O71" s="11"/>
      <c r="P71" s="11">
        <f t="shared" si="24"/>
        <v>938.46868272000006</v>
      </c>
      <c r="Q71" s="12">
        <f t="shared" si="26"/>
        <v>-155.96222083293719</v>
      </c>
      <c r="R71" s="10">
        <f t="shared" si="23"/>
        <v>-113608.66794147267</v>
      </c>
      <c r="S71" s="13"/>
      <c r="T71" s="10"/>
      <c r="U71" s="10"/>
      <c r="AD71" t="str">
        <f t="shared" si="27"/>
        <v>6-9</v>
      </c>
      <c r="AE71" s="3">
        <f t="shared" si="28"/>
        <v>56483.783280222429</v>
      </c>
      <c r="AF71" s="3">
        <f t="shared" si="29"/>
        <v>61527.427776479984</v>
      </c>
    </row>
    <row r="72" spans="3:32" x14ac:dyDescent="0.25">
      <c r="F72" s="2">
        <f t="shared" si="16"/>
        <v>6</v>
      </c>
      <c r="G72" s="2">
        <f t="shared" si="17"/>
        <v>10</v>
      </c>
      <c r="H72" s="10">
        <f t="shared" si="25"/>
        <v>-887.35615656627056</v>
      </c>
      <c r="I72" s="11">
        <f t="shared" si="19"/>
        <v>-308.36921890567413</v>
      </c>
      <c r="J72" s="10">
        <f t="shared" si="20"/>
        <v>-578.98693766059637</v>
      </c>
      <c r="K72" s="10">
        <f t="shared" si="21"/>
        <v>122768.70062460906</v>
      </c>
      <c r="L72" s="11">
        <f t="shared" si="22"/>
        <v>-207.07474698666664</v>
      </c>
      <c r="M72" s="11"/>
      <c r="N72" s="11"/>
      <c r="O72" s="11"/>
      <c r="P72" s="11">
        <f t="shared" si="24"/>
        <v>938.46868272000006</v>
      </c>
      <c r="Q72" s="12">
        <f t="shared" si="26"/>
        <v>-155.96222083293719</v>
      </c>
      <c r="R72" s="10">
        <f t="shared" si="23"/>
        <v>-113764.63016230561</v>
      </c>
      <c r="S72" s="13"/>
      <c r="T72" s="10"/>
      <c r="U72" s="10"/>
      <c r="AD72" t="str">
        <f t="shared" si="27"/>
        <v>6-10</v>
      </c>
      <c r="AE72" s="3">
        <f t="shared" si="28"/>
        <v>56999.227246114773</v>
      </c>
      <c r="AF72" s="3">
        <f t="shared" si="29"/>
        <v>62465.896459199983</v>
      </c>
    </row>
    <row r="73" spans="3:32" x14ac:dyDescent="0.25">
      <c r="F73" s="2">
        <f t="shared" si="16"/>
        <v>6</v>
      </c>
      <c r="G73" s="2">
        <f t="shared" si="17"/>
        <v>11</v>
      </c>
      <c r="H73" s="10">
        <f t="shared" si="25"/>
        <v>-887.35615656627056</v>
      </c>
      <c r="I73" s="11">
        <f t="shared" si="19"/>
        <v>-306.92175156152268</v>
      </c>
      <c r="J73" s="10">
        <f t="shared" si="20"/>
        <v>-580.43440500474787</v>
      </c>
      <c r="K73" s="10">
        <f t="shared" si="21"/>
        <v>122188.26621960431</v>
      </c>
      <c r="L73" s="11">
        <f t="shared" si="22"/>
        <v>-207.07474698666664</v>
      </c>
      <c r="M73" s="11"/>
      <c r="N73" s="11"/>
      <c r="O73" s="11"/>
      <c r="P73" s="11">
        <f t="shared" si="24"/>
        <v>938.46868272000006</v>
      </c>
      <c r="Q73" s="12">
        <f t="shared" si="26"/>
        <v>-155.96222083293719</v>
      </c>
      <c r="R73" s="10">
        <f t="shared" si="23"/>
        <v>-113920.59238313854</v>
      </c>
      <c r="S73" s="13"/>
      <c r="T73" s="10"/>
      <c r="U73" s="10"/>
      <c r="AD73" t="str">
        <f t="shared" si="27"/>
        <v>6-11</v>
      </c>
      <c r="AE73" s="3">
        <f t="shared" si="28"/>
        <v>57513.223744662959</v>
      </c>
      <c r="AF73" s="3">
        <f t="shared" si="29"/>
        <v>63404.365141919981</v>
      </c>
    </row>
    <row r="74" spans="3:32" x14ac:dyDescent="0.25">
      <c r="F74" s="2">
        <f t="shared" si="16"/>
        <v>6</v>
      </c>
      <c r="G74" s="2">
        <f t="shared" si="17"/>
        <v>12</v>
      </c>
      <c r="H74" s="10">
        <f t="shared" si="25"/>
        <v>-887.35615656627056</v>
      </c>
      <c r="I74" s="11">
        <f t="shared" si="19"/>
        <v>-305.47066554901079</v>
      </c>
      <c r="J74" s="10">
        <f t="shared" si="20"/>
        <v>-581.88549101725971</v>
      </c>
      <c r="K74" s="10">
        <f t="shared" si="21"/>
        <v>121606.38072858704</v>
      </c>
      <c r="L74" s="11">
        <f t="shared" si="22"/>
        <v>-207.07474698666664</v>
      </c>
      <c r="M74" s="11"/>
      <c r="N74" s="11"/>
      <c r="O74" s="11"/>
      <c r="P74" s="11">
        <f t="shared" si="24"/>
        <v>938.46868272000006</v>
      </c>
      <c r="Q74" s="12">
        <f t="shared" si="26"/>
        <v>-155.96222083293719</v>
      </c>
      <c r="R74" s="10">
        <f t="shared" si="23"/>
        <v>-114076.55460397148</v>
      </c>
      <c r="S74" s="13"/>
      <c r="T74" s="10"/>
      <c r="U74" s="10"/>
      <c r="AD74" t="str">
        <f t="shared" si="27"/>
        <v>6-12</v>
      </c>
      <c r="AE74" s="3">
        <f t="shared" si="28"/>
        <v>58025.769157198636</v>
      </c>
      <c r="AF74" s="3">
        <f t="shared" si="29"/>
        <v>64342.83382463998</v>
      </c>
    </row>
    <row r="75" spans="3:32" x14ac:dyDescent="0.25">
      <c r="F75" s="2">
        <f t="shared" si="16"/>
        <v>7</v>
      </c>
      <c r="G75" s="2">
        <f t="shared" si="17"/>
        <v>1</v>
      </c>
      <c r="H75" s="10">
        <f t="shared" si="25"/>
        <v>-887.35615656627056</v>
      </c>
      <c r="I75" s="11">
        <f t="shared" si="19"/>
        <v>-304.01595182146764</v>
      </c>
      <c r="J75" s="10">
        <f t="shared" si="20"/>
        <v>-583.34020474480292</v>
      </c>
      <c r="K75" s="10">
        <f t="shared" si="21"/>
        <v>121023.04052384224</v>
      </c>
      <c r="L75" s="11">
        <f t="shared" si="22"/>
        <v>-209.28290859306668</v>
      </c>
      <c r="M75" s="11"/>
      <c r="N75" s="11"/>
      <c r="O75" s="11"/>
      <c r="P75" s="11">
        <f t="shared" si="24"/>
        <v>957.2380563744</v>
      </c>
      <c r="Q75" s="12">
        <f t="shared" si="26"/>
        <v>-139.40100878493718</v>
      </c>
      <c r="R75" s="10">
        <f t="shared" si="23"/>
        <v>-114215.95561275641</v>
      </c>
      <c r="S75" s="13"/>
      <c r="T75" s="10"/>
      <c r="U75" s="10"/>
      <c r="AD75" t="str">
        <f t="shared" si="27"/>
        <v>7-1</v>
      </c>
      <c r="AE75" s="3">
        <f t="shared" si="28"/>
        <v>58539.068017613172</v>
      </c>
      <c r="AF75" s="3">
        <f t="shared" si="29"/>
        <v>65300.071881014381</v>
      </c>
    </row>
    <row r="76" spans="3:32" x14ac:dyDescent="0.25">
      <c r="F76" s="2">
        <f t="shared" si="16"/>
        <v>7</v>
      </c>
      <c r="G76" s="2">
        <f t="shared" si="17"/>
        <v>2</v>
      </c>
      <c r="H76" s="10">
        <f t="shared" si="25"/>
        <v>-887.35615656627056</v>
      </c>
      <c r="I76" s="11">
        <f t="shared" si="19"/>
        <v>-302.55760130960562</v>
      </c>
      <c r="J76" s="10">
        <f t="shared" si="20"/>
        <v>-584.79855525666494</v>
      </c>
      <c r="K76" s="10">
        <f t="shared" si="21"/>
        <v>120438.24196858557</v>
      </c>
      <c r="L76" s="11">
        <f t="shared" si="22"/>
        <v>-209.28290859306668</v>
      </c>
      <c r="M76" s="11"/>
      <c r="N76" s="11"/>
      <c r="O76" s="11"/>
      <c r="P76" s="11">
        <f t="shared" si="24"/>
        <v>957.2380563744</v>
      </c>
      <c r="Q76" s="12">
        <f t="shared" si="26"/>
        <v>-139.40100878493718</v>
      </c>
      <c r="R76" s="10">
        <f t="shared" si="23"/>
        <v>-114355.35662154134</v>
      </c>
      <c r="S76" s="13"/>
      <c r="T76" s="10"/>
      <c r="U76" s="10"/>
      <c r="AD76" t="str">
        <f t="shared" si="27"/>
        <v>7-2</v>
      </c>
      <c r="AE76" s="3">
        <f t="shared" si="28"/>
        <v>59050.908527515843</v>
      </c>
      <c r="AF76" s="3">
        <f t="shared" si="29"/>
        <v>66257.309937388782</v>
      </c>
    </row>
    <row r="77" spans="3:32" x14ac:dyDescent="0.25">
      <c r="F77" s="2">
        <f t="shared" si="16"/>
        <v>7</v>
      </c>
      <c r="G77" s="2">
        <f t="shared" si="17"/>
        <v>3</v>
      </c>
      <c r="H77" s="10">
        <f t="shared" si="25"/>
        <v>-887.35615656627056</v>
      </c>
      <c r="I77" s="11">
        <f t="shared" si="19"/>
        <v>-301.09560492146392</v>
      </c>
      <c r="J77" s="10">
        <f t="shared" si="20"/>
        <v>-586.26055164480658</v>
      </c>
      <c r="K77" s="10">
        <f t="shared" si="21"/>
        <v>119851.98141694076</v>
      </c>
      <c r="L77" s="11">
        <f t="shared" si="22"/>
        <v>-209.28290859306668</v>
      </c>
      <c r="M77" s="11"/>
      <c r="N77" s="11"/>
      <c r="O77" s="11"/>
      <c r="P77" s="11">
        <f t="shared" si="24"/>
        <v>957.2380563744</v>
      </c>
      <c r="Q77" s="12">
        <f t="shared" si="26"/>
        <v>-139.40100878493718</v>
      </c>
      <c r="R77" s="10">
        <f t="shared" si="23"/>
        <v>-114494.75763032628</v>
      </c>
      <c r="S77" s="13"/>
      <c r="T77" s="10"/>
      <c r="U77" s="10"/>
      <c r="AD77" t="str">
        <f t="shared" si="27"/>
        <v>7-3</v>
      </c>
      <c r="AE77" s="3">
        <f t="shared" si="28"/>
        <v>59561.287041030373</v>
      </c>
      <c r="AF77" s="3">
        <f t="shared" si="29"/>
        <v>67214.547993763175</v>
      </c>
    </row>
    <row r="78" spans="3:32" x14ac:dyDescent="0.25">
      <c r="F78" s="2">
        <f t="shared" si="16"/>
        <v>7</v>
      </c>
      <c r="G78" s="2">
        <f t="shared" si="17"/>
        <v>4</v>
      </c>
      <c r="H78" s="10">
        <f t="shared" si="25"/>
        <v>-887.35615656627056</v>
      </c>
      <c r="I78" s="11">
        <f t="shared" si="19"/>
        <v>-299.62995354235193</v>
      </c>
      <c r="J78" s="10">
        <f t="shared" si="20"/>
        <v>-587.72620302391863</v>
      </c>
      <c r="K78" s="10">
        <f t="shared" si="21"/>
        <v>119264.25521391684</v>
      </c>
      <c r="L78" s="11">
        <f t="shared" si="22"/>
        <v>-209.28290859306668</v>
      </c>
      <c r="M78" s="11"/>
      <c r="N78" s="11"/>
      <c r="O78" s="11"/>
      <c r="P78" s="11">
        <f t="shared" si="24"/>
        <v>957.2380563744</v>
      </c>
      <c r="Q78" s="12">
        <f t="shared" si="26"/>
        <v>-139.40100878493718</v>
      </c>
      <c r="R78" s="10">
        <f t="shared" si="23"/>
        <v>-114634.15863911121</v>
      </c>
      <c r="S78" s="13"/>
      <c r="T78" s="10"/>
      <c r="U78" s="10"/>
      <c r="AD78" t="str">
        <f t="shared" si="27"/>
        <v>7-4</v>
      </c>
      <c r="AE78" s="3">
        <f t="shared" si="28"/>
        <v>60070.199903165791</v>
      </c>
      <c r="AF78" s="3">
        <f t="shared" si="29"/>
        <v>68171.786050137569</v>
      </c>
    </row>
    <row r="79" spans="3:32" x14ac:dyDescent="0.25">
      <c r="F79" s="2">
        <f t="shared" si="16"/>
        <v>7</v>
      </c>
      <c r="G79" s="2">
        <f t="shared" si="17"/>
        <v>5</v>
      </c>
      <c r="H79" s="10">
        <f t="shared" si="25"/>
        <v>-887.35615656627056</v>
      </c>
      <c r="I79" s="11">
        <f t="shared" si="19"/>
        <v>-298.1606380347921</v>
      </c>
      <c r="J79" s="10">
        <f t="shared" si="20"/>
        <v>-589.19551853147846</v>
      </c>
      <c r="K79" s="10">
        <f t="shared" si="21"/>
        <v>118675.05969538537</v>
      </c>
      <c r="L79" s="11">
        <f t="shared" si="22"/>
        <v>-209.28290859306668</v>
      </c>
      <c r="M79" s="11"/>
      <c r="N79" s="11"/>
      <c r="O79" s="11"/>
      <c r="P79" s="11">
        <f t="shared" si="24"/>
        <v>957.2380563744</v>
      </c>
      <c r="Q79" s="12">
        <f t="shared" si="26"/>
        <v>-139.40100878493718</v>
      </c>
      <c r="R79" s="10">
        <f t="shared" si="23"/>
        <v>-114773.55964789614</v>
      </c>
      <c r="S79" s="13"/>
      <c r="T79" s="10"/>
      <c r="U79" s="10"/>
      <c r="AD79" t="str">
        <f t="shared" si="27"/>
        <v>7-5</v>
      </c>
      <c r="AE79" s="3">
        <f t="shared" si="28"/>
        <v>60577.64344979365</v>
      </c>
      <c r="AF79" s="3">
        <f t="shared" si="29"/>
        <v>69129.024106511963</v>
      </c>
    </row>
    <row r="80" spans="3:32" x14ac:dyDescent="0.25">
      <c r="F80" s="2">
        <f t="shared" si="16"/>
        <v>7</v>
      </c>
      <c r="G80" s="2">
        <f t="shared" si="17"/>
        <v>6</v>
      </c>
      <c r="H80" s="10">
        <f t="shared" si="25"/>
        <v>-887.35615656627056</v>
      </c>
      <c r="I80" s="11">
        <f t="shared" si="19"/>
        <v>-296.68764923846345</v>
      </c>
      <c r="J80" s="10">
        <f t="shared" si="20"/>
        <v>-590.66850732780711</v>
      </c>
      <c r="K80" s="10">
        <f t="shared" si="21"/>
        <v>118084.39118805756</v>
      </c>
      <c r="L80" s="11">
        <f t="shared" si="22"/>
        <v>-209.28290859306668</v>
      </c>
      <c r="M80" s="11"/>
      <c r="N80" s="11"/>
      <c r="O80" s="11"/>
      <c r="P80" s="11">
        <f t="shared" si="24"/>
        <v>957.2380563744</v>
      </c>
      <c r="Q80" s="12">
        <f t="shared" si="26"/>
        <v>-139.40100878493718</v>
      </c>
      <c r="R80" s="10">
        <f t="shared" si="23"/>
        <v>-114912.96065668107</v>
      </c>
      <c r="S80" s="13"/>
      <c r="T80" s="10"/>
      <c r="U80" s="10"/>
      <c r="AD80" t="str">
        <f t="shared" si="27"/>
        <v>7-6</v>
      </c>
      <c r="AE80" s="3">
        <f t="shared" si="28"/>
        <v>61083.614007625183</v>
      </c>
      <c r="AF80" s="3">
        <f t="shared" si="29"/>
        <v>70086.262162886356</v>
      </c>
    </row>
    <row r="81" spans="6:32" x14ac:dyDescent="0.25">
      <c r="F81" s="2">
        <f t="shared" ref="F81:F122" si="30">F69+1</f>
        <v>7</v>
      </c>
      <c r="G81" s="2">
        <f t="shared" ref="G81:G122" si="31">G69</f>
        <v>7</v>
      </c>
      <c r="H81" s="10">
        <f t="shared" si="25"/>
        <v>-887.35615656627056</v>
      </c>
      <c r="I81" s="11">
        <f t="shared" si="19"/>
        <v>-295.21097797014392</v>
      </c>
      <c r="J81" s="10">
        <f t="shared" si="20"/>
        <v>-592.1451785961267</v>
      </c>
      <c r="K81" s="10">
        <f t="shared" si="21"/>
        <v>117492.24600946144</v>
      </c>
      <c r="L81" s="11">
        <f t="shared" si="22"/>
        <v>-209.28290859306668</v>
      </c>
      <c r="M81" s="11"/>
      <c r="N81" s="11"/>
      <c r="O81" s="11"/>
      <c r="P81" s="11">
        <f t="shared" si="24"/>
        <v>957.2380563744</v>
      </c>
      <c r="Q81" s="12">
        <f t="shared" si="26"/>
        <v>-139.40100878493718</v>
      </c>
      <c r="R81" s="10">
        <f t="shared" si="23"/>
        <v>-115052.361665466</v>
      </c>
      <c r="S81" s="13"/>
      <c r="T81" s="10"/>
      <c r="U81" s="10"/>
      <c r="AD81" t="str">
        <f t="shared" si="27"/>
        <v>7-7</v>
      </c>
      <c r="AE81" s="3">
        <f t="shared" si="28"/>
        <v>61588.107894188397</v>
      </c>
      <c r="AF81" s="3">
        <f t="shared" si="29"/>
        <v>71043.50021926075</v>
      </c>
    </row>
    <row r="82" spans="6:32" x14ac:dyDescent="0.25">
      <c r="F82" s="2">
        <f t="shared" si="30"/>
        <v>7</v>
      </c>
      <c r="G82" s="2">
        <f t="shared" si="31"/>
        <v>8</v>
      </c>
      <c r="H82" s="10">
        <f t="shared" si="25"/>
        <v>-887.35615656627056</v>
      </c>
      <c r="I82" s="11">
        <f t="shared" si="19"/>
        <v>-293.73061502365357</v>
      </c>
      <c r="J82" s="10">
        <f t="shared" si="20"/>
        <v>-593.62554154261693</v>
      </c>
      <c r="K82" s="10">
        <f t="shared" si="21"/>
        <v>116898.62046791882</v>
      </c>
      <c r="L82" s="11">
        <f t="shared" si="22"/>
        <v>-209.28290859306668</v>
      </c>
      <c r="M82" s="11"/>
      <c r="N82" s="11"/>
      <c r="O82" s="11"/>
      <c r="P82" s="11">
        <f t="shared" si="24"/>
        <v>957.2380563744</v>
      </c>
      <c r="Q82" s="12">
        <f t="shared" si="26"/>
        <v>-139.40100878493718</v>
      </c>
      <c r="R82" s="10">
        <f t="shared" si="23"/>
        <v>-115191.76267425093</v>
      </c>
      <c r="S82" s="13"/>
      <c r="T82" s="10"/>
      <c r="U82" s="10"/>
      <c r="AD82" t="str">
        <f t="shared" si="27"/>
        <v>7-8</v>
      </c>
      <c r="AE82" s="3">
        <f t="shared" si="28"/>
        <v>62091.121417805116</v>
      </c>
      <c r="AF82" s="3">
        <f t="shared" si="29"/>
        <v>72000.738275635144</v>
      </c>
    </row>
    <row r="83" spans="6:32" x14ac:dyDescent="0.25">
      <c r="F83" s="2">
        <f t="shared" si="30"/>
        <v>7</v>
      </c>
      <c r="G83" s="2">
        <f t="shared" si="31"/>
        <v>9</v>
      </c>
      <c r="H83" s="10">
        <f t="shared" si="25"/>
        <v>-887.35615656627056</v>
      </c>
      <c r="I83" s="11">
        <f t="shared" si="19"/>
        <v>-292.24655116979704</v>
      </c>
      <c r="J83" s="10">
        <f t="shared" si="20"/>
        <v>-595.10960539647351</v>
      </c>
      <c r="K83" s="10">
        <f t="shared" si="21"/>
        <v>116303.51086252235</v>
      </c>
      <c r="L83" s="11">
        <f t="shared" si="22"/>
        <v>-209.28290859306668</v>
      </c>
      <c r="M83" s="11"/>
      <c r="N83" s="11"/>
      <c r="O83" s="11"/>
      <c r="P83" s="11">
        <f t="shared" si="24"/>
        <v>957.2380563744</v>
      </c>
      <c r="Q83" s="12">
        <f t="shared" si="26"/>
        <v>-139.40100878493718</v>
      </c>
      <c r="R83" s="10">
        <f t="shared" si="23"/>
        <v>-115331.16368303586</v>
      </c>
      <c r="S83" s="13"/>
      <c r="T83" s="10"/>
      <c r="U83" s="10"/>
      <c r="AD83" t="str">
        <f t="shared" si="27"/>
        <v>7-9</v>
      </c>
      <c r="AE83" s="3">
        <f t="shared" si="28"/>
        <v>62592.650877567983</v>
      </c>
      <c r="AF83" s="3">
        <f t="shared" si="29"/>
        <v>72957.976332009537</v>
      </c>
    </row>
    <row r="84" spans="6:32" x14ac:dyDescent="0.25">
      <c r="F84" s="2">
        <f t="shared" si="30"/>
        <v>7</v>
      </c>
      <c r="G84" s="2">
        <f t="shared" si="31"/>
        <v>10</v>
      </c>
      <c r="H84" s="10">
        <f t="shared" si="25"/>
        <v>-887.35615656627056</v>
      </c>
      <c r="I84" s="11">
        <f t="shared" si="19"/>
        <v>-290.75877715630588</v>
      </c>
      <c r="J84" s="10">
        <f t="shared" si="20"/>
        <v>-596.59737940996467</v>
      </c>
      <c r="K84" s="10">
        <f t="shared" si="21"/>
        <v>115706.91348311238</v>
      </c>
      <c r="L84" s="11">
        <f t="shared" si="22"/>
        <v>-209.28290859306668</v>
      </c>
      <c r="M84" s="11"/>
      <c r="N84" s="11"/>
      <c r="O84" s="11"/>
      <c r="P84" s="11">
        <f t="shared" si="24"/>
        <v>957.2380563744</v>
      </c>
      <c r="Q84" s="12">
        <f t="shared" si="26"/>
        <v>-139.40100878493718</v>
      </c>
      <c r="R84" s="10">
        <f t="shared" si="23"/>
        <v>-115470.56469182079</v>
      </c>
      <c r="S84" s="13"/>
      <c r="T84" s="10"/>
      <c r="U84" s="10"/>
      <c r="AD84" t="str">
        <f t="shared" si="27"/>
        <v>7-10</v>
      </c>
      <c r="AE84" s="3">
        <f t="shared" si="28"/>
        <v>63092.692563317352</v>
      </c>
      <c r="AF84" s="3">
        <f t="shared" si="29"/>
        <v>73915.214388383931</v>
      </c>
    </row>
    <row r="85" spans="6:32" x14ac:dyDescent="0.25">
      <c r="F85" s="2">
        <f t="shared" si="30"/>
        <v>7</v>
      </c>
      <c r="G85" s="2">
        <f t="shared" si="31"/>
        <v>11</v>
      </c>
      <c r="H85" s="10">
        <f t="shared" si="25"/>
        <v>-887.35615656627056</v>
      </c>
      <c r="I85" s="11">
        <f t="shared" si="19"/>
        <v>-289.26728370778096</v>
      </c>
      <c r="J85" s="10">
        <f t="shared" si="20"/>
        <v>-598.08887285848959</v>
      </c>
      <c r="K85" s="10">
        <f t="shared" si="21"/>
        <v>115108.8246102539</v>
      </c>
      <c r="L85" s="11">
        <f t="shared" si="22"/>
        <v>-209.28290859306668</v>
      </c>
      <c r="M85" s="11"/>
      <c r="N85" s="11"/>
      <c r="O85" s="11"/>
      <c r="P85" s="11">
        <f t="shared" si="24"/>
        <v>957.2380563744</v>
      </c>
      <c r="Q85" s="12">
        <f t="shared" si="26"/>
        <v>-139.40100878493718</v>
      </c>
      <c r="R85" s="10">
        <f t="shared" si="23"/>
        <v>-115609.96570060572</v>
      </c>
      <c r="S85" s="13"/>
      <c r="T85" s="10"/>
      <c r="U85" s="10"/>
      <c r="AD85" t="str">
        <f t="shared" si="27"/>
        <v>7-11</v>
      </c>
      <c r="AE85" s="3">
        <f t="shared" si="28"/>
        <v>63591.242755618201</v>
      </c>
      <c r="AF85" s="3">
        <f t="shared" si="29"/>
        <v>74872.452444758324</v>
      </c>
    </row>
    <row r="86" spans="6:32" x14ac:dyDescent="0.25">
      <c r="F86" s="2">
        <f t="shared" si="30"/>
        <v>7</v>
      </c>
      <c r="G86" s="2">
        <f t="shared" si="31"/>
        <v>12</v>
      </c>
      <c r="H86" s="10">
        <f t="shared" si="25"/>
        <v>-887.35615656627056</v>
      </c>
      <c r="I86" s="11">
        <f t="shared" si="19"/>
        <v>-287.77206152563474</v>
      </c>
      <c r="J86" s="10">
        <f t="shared" si="20"/>
        <v>-599.58409504063582</v>
      </c>
      <c r="K86" s="10">
        <f t="shared" si="21"/>
        <v>114509.24051521326</v>
      </c>
      <c r="L86" s="11">
        <f t="shared" si="22"/>
        <v>-209.28290859306668</v>
      </c>
      <c r="M86" s="11"/>
      <c r="N86" s="11"/>
      <c r="O86" s="11"/>
      <c r="P86" s="11">
        <f t="shared" si="24"/>
        <v>957.2380563744</v>
      </c>
      <c r="Q86" s="12">
        <f t="shared" si="26"/>
        <v>-139.40100878493718</v>
      </c>
      <c r="R86" s="10">
        <f t="shared" si="23"/>
        <v>-115749.36670939066</v>
      </c>
      <c r="S86" s="13"/>
      <c r="T86" s="10"/>
      <c r="U86" s="10"/>
      <c r="AD86" t="str">
        <f t="shared" si="27"/>
        <v>7-12</v>
      </c>
      <c r="AE86" s="3">
        <f t="shared" si="28"/>
        <v>64088.297725736906</v>
      </c>
      <c r="AF86" s="3">
        <f t="shared" si="29"/>
        <v>75829.690501132718</v>
      </c>
    </row>
    <row r="87" spans="6:32" x14ac:dyDescent="0.25">
      <c r="F87" s="2">
        <f t="shared" si="30"/>
        <v>8</v>
      </c>
      <c r="G87" s="2">
        <f t="shared" si="31"/>
        <v>1</v>
      </c>
      <c r="H87" s="10">
        <f t="shared" si="25"/>
        <v>-887.35615656627056</v>
      </c>
      <c r="I87" s="11">
        <f t="shared" si="19"/>
        <v>-286.27310128803316</v>
      </c>
      <c r="J87" s="10">
        <f t="shared" si="20"/>
        <v>-601.08305527823745</v>
      </c>
      <c r="K87" s="10">
        <f t="shared" si="21"/>
        <v>113908.15745993501</v>
      </c>
      <c r="L87" s="11">
        <f t="shared" si="22"/>
        <v>-211.53523343159463</v>
      </c>
      <c r="M87" s="11"/>
      <c r="N87" s="11"/>
      <c r="O87" s="11"/>
      <c r="P87" s="11">
        <f t="shared" si="24"/>
        <v>976.38281750188787</v>
      </c>
      <c r="Q87" s="12">
        <f t="shared" si="26"/>
        <v>-122.50857249597732</v>
      </c>
      <c r="R87" s="10">
        <f t="shared" si="23"/>
        <v>-115871.87528188663</v>
      </c>
      <c r="S87" s="13"/>
      <c r="T87" s="10"/>
      <c r="U87" s="10"/>
      <c r="AD87" t="str">
        <f t="shared" si="27"/>
        <v>8-1</v>
      </c>
      <c r="AE87" s="3">
        <f t="shared" si="28"/>
        <v>64586.106060456535</v>
      </c>
      <c r="AF87" s="3">
        <f t="shared" si="29"/>
        <v>76806.073318634604</v>
      </c>
    </row>
    <row r="88" spans="6:32" x14ac:dyDescent="0.25">
      <c r="F88" s="2">
        <f t="shared" si="30"/>
        <v>8</v>
      </c>
      <c r="G88" s="2">
        <f t="shared" si="31"/>
        <v>2</v>
      </c>
      <c r="H88" s="10">
        <f t="shared" si="25"/>
        <v>-887.35615656627056</v>
      </c>
      <c r="I88" s="11">
        <f t="shared" si="19"/>
        <v>-284.77039364983756</v>
      </c>
      <c r="J88" s="10">
        <f t="shared" si="20"/>
        <v>-602.58576291643294</v>
      </c>
      <c r="K88" s="10">
        <f t="shared" si="21"/>
        <v>113305.57169701857</v>
      </c>
      <c r="L88" s="11">
        <f t="shared" si="22"/>
        <v>-211.53523343159463</v>
      </c>
      <c r="M88" s="11"/>
      <c r="N88" s="11"/>
      <c r="O88" s="11"/>
      <c r="P88" s="11">
        <f t="shared" si="24"/>
        <v>976.38281750188787</v>
      </c>
      <c r="Q88" s="12">
        <f t="shared" si="26"/>
        <v>-122.50857249597732</v>
      </c>
      <c r="R88" s="10">
        <f t="shared" si="23"/>
        <v>-115994.38385438261</v>
      </c>
      <c r="S88" s="13"/>
      <c r="T88" s="10"/>
      <c r="U88" s="10"/>
      <c r="AD88" t="str">
        <f t="shared" si="27"/>
        <v>8-2</v>
      </c>
      <c r="AE88" s="3">
        <f t="shared" si="28"/>
        <v>65082.41168753797</v>
      </c>
      <c r="AF88" s="3">
        <f t="shared" si="29"/>
        <v>77782.45613613649</v>
      </c>
    </row>
    <row r="89" spans="6:32" x14ac:dyDescent="0.25">
      <c r="F89" s="2">
        <f t="shared" si="30"/>
        <v>8</v>
      </c>
      <c r="G89" s="2">
        <f t="shared" si="31"/>
        <v>3</v>
      </c>
      <c r="H89" s="10">
        <f t="shared" si="25"/>
        <v>-887.35615656627056</v>
      </c>
      <c r="I89" s="11">
        <f t="shared" si="19"/>
        <v>-283.26392924254645</v>
      </c>
      <c r="J89" s="10">
        <f t="shared" si="20"/>
        <v>-604.09222732372405</v>
      </c>
      <c r="K89" s="10">
        <f t="shared" si="21"/>
        <v>112701.47946969485</v>
      </c>
      <c r="L89" s="11">
        <f t="shared" si="22"/>
        <v>-211.53523343159463</v>
      </c>
      <c r="M89" s="11"/>
      <c r="N89" s="11"/>
      <c r="O89" s="11"/>
      <c r="P89" s="11">
        <f t="shared" si="24"/>
        <v>976.38281750188787</v>
      </c>
      <c r="Q89" s="12">
        <f t="shared" si="26"/>
        <v>-122.50857249597732</v>
      </c>
      <c r="R89" s="10">
        <f t="shared" si="23"/>
        <v>-116116.89242687859</v>
      </c>
      <c r="S89" s="13"/>
      <c r="T89" s="10"/>
      <c r="U89" s="10"/>
      <c r="AD89" t="str">
        <f t="shared" si="27"/>
        <v>8-3</v>
      </c>
      <c r="AE89" s="3">
        <f t="shared" si="28"/>
        <v>65577.210850212112</v>
      </c>
      <c r="AF89" s="3">
        <f t="shared" si="29"/>
        <v>78758.838953638377</v>
      </c>
    </row>
    <row r="90" spans="6:32" x14ac:dyDescent="0.25">
      <c r="F90" s="2">
        <f t="shared" si="30"/>
        <v>8</v>
      </c>
      <c r="G90" s="2">
        <f t="shared" si="31"/>
        <v>4</v>
      </c>
      <c r="H90" s="10">
        <f t="shared" si="25"/>
        <v>-887.35615656627056</v>
      </c>
      <c r="I90" s="11">
        <f t="shared" si="19"/>
        <v>-281.75369867423711</v>
      </c>
      <c r="J90" s="10">
        <f t="shared" si="20"/>
        <v>-605.6024578920335</v>
      </c>
      <c r="K90" s="10">
        <f t="shared" si="21"/>
        <v>112095.87701180282</v>
      </c>
      <c r="L90" s="11">
        <f t="shared" si="22"/>
        <v>-211.53523343159463</v>
      </c>
      <c r="M90" s="11"/>
      <c r="N90" s="11"/>
      <c r="O90" s="11"/>
      <c r="P90" s="11">
        <f t="shared" si="24"/>
        <v>976.38281750188787</v>
      </c>
      <c r="Q90" s="12">
        <f t="shared" si="26"/>
        <v>-122.50857249597732</v>
      </c>
      <c r="R90" s="10">
        <f t="shared" si="23"/>
        <v>-116239.40099937457</v>
      </c>
      <c r="S90" s="13"/>
      <c r="T90" s="10"/>
      <c r="U90" s="10"/>
      <c r="AD90" t="str">
        <f t="shared" si="27"/>
        <v>8-4</v>
      </c>
      <c r="AE90" s="3">
        <f t="shared" si="28"/>
        <v>66070.499782317944</v>
      </c>
      <c r="AF90" s="3">
        <f t="shared" si="29"/>
        <v>79735.221771140263</v>
      </c>
    </row>
    <row r="91" spans="6:32" x14ac:dyDescent="0.25">
      <c r="F91" s="2">
        <f t="shared" si="30"/>
        <v>8</v>
      </c>
      <c r="G91" s="2">
        <f t="shared" si="31"/>
        <v>5</v>
      </c>
      <c r="H91" s="10">
        <f t="shared" si="25"/>
        <v>-887.35615656627056</v>
      </c>
      <c r="I91" s="11">
        <f t="shared" si="19"/>
        <v>-280.23969252950707</v>
      </c>
      <c r="J91" s="10">
        <f t="shared" si="20"/>
        <v>-607.11646403676355</v>
      </c>
      <c r="K91" s="10">
        <f t="shared" si="21"/>
        <v>111488.76054776605</v>
      </c>
      <c r="L91" s="11">
        <f t="shared" si="22"/>
        <v>-211.53523343159463</v>
      </c>
      <c r="M91" s="11"/>
      <c r="N91" s="11"/>
      <c r="O91" s="11"/>
      <c r="P91" s="11">
        <f t="shared" si="24"/>
        <v>976.38281750188787</v>
      </c>
      <c r="Q91" s="12">
        <f t="shared" si="26"/>
        <v>-122.50857249597732</v>
      </c>
      <c r="R91" s="10">
        <f t="shared" si="23"/>
        <v>-116361.90957187055</v>
      </c>
      <c r="S91" s="13"/>
      <c r="T91" s="10"/>
      <c r="U91" s="10"/>
      <c r="AD91" t="str">
        <f t="shared" si="27"/>
        <v>8-5</v>
      </c>
      <c r="AE91" s="3">
        <f t="shared" si="28"/>
        <v>66562.274708279045</v>
      </c>
      <c r="AF91" s="3">
        <f t="shared" si="29"/>
        <v>80711.604588642149</v>
      </c>
    </row>
    <row r="92" spans="6:32" x14ac:dyDescent="0.25">
      <c r="F92" s="2">
        <f t="shared" si="30"/>
        <v>8</v>
      </c>
      <c r="G92" s="2">
        <f t="shared" si="31"/>
        <v>6</v>
      </c>
      <c r="H92" s="10">
        <f t="shared" si="25"/>
        <v>-887.35615656627056</v>
      </c>
      <c r="I92" s="11">
        <f t="shared" si="19"/>
        <v>-278.72190136941515</v>
      </c>
      <c r="J92" s="10">
        <f t="shared" si="20"/>
        <v>-608.63425519685541</v>
      </c>
      <c r="K92" s="10">
        <f t="shared" si="21"/>
        <v>110880.1262925692</v>
      </c>
      <c r="L92" s="11">
        <f t="shared" si="22"/>
        <v>-211.53523343159463</v>
      </c>
      <c r="M92" s="11"/>
      <c r="N92" s="11"/>
      <c r="O92" s="11"/>
      <c r="P92" s="11">
        <f t="shared" si="24"/>
        <v>976.38281750188787</v>
      </c>
      <c r="Q92" s="12">
        <f t="shared" si="26"/>
        <v>-122.50857249597732</v>
      </c>
      <c r="R92" s="10">
        <f t="shared" si="23"/>
        <v>-116484.41814436653</v>
      </c>
      <c r="S92" s="13"/>
      <c r="T92" s="10"/>
      <c r="U92" s="10"/>
      <c r="AD92" t="str">
        <f t="shared" si="27"/>
        <v>8-6</v>
      </c>
      <c r="AE92" s="3">
        <f t="shared" si="28"/>
        <v>67052.531843080054</v>
      </c>
      <c r="AF92" s="3">
        <f t="shared" si="29"/>
        <v>81687.987406144035</v>
      </c>
    </row>
    <row r="93" spans="6:32" x14ac:dyDescent="0.25">
      <c r="F93" s="2">
        <f t="shared" si="30"/>
        <v>8</v>
      </c>
      <c r="G93" s="2">
        <f t="shared" si="31"/>
        <v>7</v>
      </c>
      <c r="H93" s="10">
        <f t="shared" si="25"/>
        <v>-887.35615656627056</v>
      </c>
      <c r="I93" s="11">
        <f t="shared" si="19"/>
        <v>-277.20031573142302</v>
      </c>
      <c r="J93" s="10">
        <f t="shared" si="20"/>
        <v>-610.1558408348476</v>
      </c>
      <c r="K93" s="10">
        <f t="shared" si="21"/>
        <v>110269.97045173435</v>
      </c>
      <c r="L93" s="11">
        <f t="shared" si="22"/>
        <v>-211.53523343159463</v>
      </c>
      <c r="M93" s="11"/>
      <c r="N93" s="11"/>
      <c r="O93" s="11"/>
      <c r="P93" s="11">
        <f t="shared" si="24"/>
        <v>976.38281750188787</v>
      </c>
      <c r="Q93" s="12">
        <f t="shared" si="26"/>
        <v>-122.50857249597732</v>
      </c>
      <c r="R93" s="10">
        <f t="shared" si="23"/>
        <v>-116606.92671686251</v>
      </c>
      <c r="S93" s="13"/>
      <c r="T93" s="10"/>
      <c r="U93" s="10"/>
      <c r="AD93" t="str">
        <f t="shared" si="27"/>
        <v>8-7</v>
      </c>
      <c r="AE93" s="3">
        <f t="shared" si="28"/>
        <v>67541.267392243069</v>
      </c>
      <c r="AF93" s="3">
        <f t="shared" si="29"/>
        <v>82664.370223645921</v>
      </c>
    </row>
    <row r="94" spans="6:32" x14ac:dyDescent="0.25">
      <c r="F94" s="2">
        <f t="shared" si="30"/>
        <v>8</v>
      </c>
      <c r="G94" s="2">
        <f t="shared" si="31"/>
        <v>8</v>
      </c>
      <c r="H94" s="10">
        <f t="shared" si="25"/>
        <v>-887.35615656627056</v>
      </c>
      <c r="I94" s="11">
        <f t="shared" si="19"/>
        <v>-275.67492612933586</v>
      </c>
      <c r="J94" s="10">
        <f t="shared" si="20"/>
        <v>-611.6812304369347</v>
      </c>
      <c r="K94" s="10">
        <f t="shared" si="21"/>
        <v>109658.28922129741</v>
      </c>
      <c r="L94" s="11">
        <f t="shared" si="22"/>
        <v>-211.53523343159463</v>
      </c>
      <c r="M94" s="11"/>
      <c r="N94" s="11"/>
      <c r="O94" s="11"/>
      <c r="P94" s="11">
        <f t="shared" si="24"/>
        <v>976.38281750188787</v>
      </c>
      <c r="Q94" s="12">
        <f t="shared" si="26"/>
        <v>-122.50857249597732</v>
      </c>
      <c r="R94" s="10">
        <f t="shared" si="23"/>
        <v>-116729.43528935849</v>
      </c>
      <c r="S94" s="13"/>
      <c r="T94" s="10"/>
      <c r="U94" s="10"/>
      <c r="AD94" t="str">
        <f t="shared" si="27"/>
        <v>8-8</v>
      </c>
      <c r="AE94" s="3">
        <f t="shared" si="28"/>
        <v>68028.477551803997</v>
      </c>
      <c r="AF94" s="3">
        <f t="shared" si="29"/>
        <v>83640.753041147807</v>
      </c>
    </row>
    <row r="95" spans="6:32" x14ac:dyDescent="0.25">
      <c r="F95" s="2">
        <f t="shared" si="30"/>
        <v>8</v>
      </c>
      <c r="G95" s="2">
        <f t="shared" si="31"/>
        <v>9</v>
      </c>
      <c r="H95" s="10">
        <f t="shared" si="25"/>
        <v>-887.35615656627056</v>
      </c>
      <c r="I95" s="11">
        <f t="shared" si="19"/>
        <v>-274.14572305324356</v>
      </c>
      <c r="J95" s="10">
        <f t="shared" si="20"/>
        <v>-613.21043351302706</v>
      </c>
      <c r="K95" s="10">
        <f t="shared" si="21"/>
        <v>109045.07878778438</v>
      </c>
      <c r="L95" s="11">
        <f t="shared" si="22"/>
        <v>-211.53523343159463</v>
      </c>
      <c r="M95" s="11"/>
      <c r="N95" s="11"/>
      <c r="O95" s="11"/>
      <c r="P95" s="11">
        <f t="shared" si="24"/>
        <v>976.38281750188787</v>
      </c>
      <c r="Q95" s="12">
        <f t="shared" si="26"/>
        <v>-122.50857249597732</v>
      </c>
      <c r="R95" s="10">
        <f t="shared" si="23"/>
        <v>-116851.94386185447</v>
      </c>
      <c r="S95" s="13"/>
      <c r="T95" s="10"/>
      <c r="U95" s="10"/>
      <c r="AD95" t="str">
        <f t="shared" si="27"/>
        <v>8-9</v>
      </c>
      <c r="AE95" s="3">
        <f t="shared" si="28"/>
        <v>68514.158508288834</v>
      </c>
      <c r="AF95" s="3">
        <f t="shared" si="29"/>
        <v>84617.135858649694</v>
      </c>
    </row>
    <row r="96" spans="6:32" x14ac:dyDescent="0.25">
      <c r="F96" s="2">
        <f t="shared" si="30"/>
        <v>8</v>
      </c>
      <c r="G96" s="2">
        <f t="shared" si="31"/>
        <v>10</v>
      </c>
      <c r="H96" s="10">
        <f t="shared" si="25"/>
        <v>-887.35615656627056</v>
      </c>
      <c r="I96" s="11">
        <f t="shared" si="19"/>
        <v>-272.61269696946096</v>
      </c>
      <c r="J96" s="10">
        <f t="shared" si="20"/>
        <v>-614.74345959680954</v>
      </c>
      <c r="K96" s="10">
        <f t="shared" si="21"/>
        <v>108430.33532818758</v>
      </c>
      <c r="L96" s="11">
        <f t="shared" si="22"/>
        <v>-211.53523343159463</v>
      </c>
      <c r="M96" s="11"/>
      <c r="N96" s="11"/>
      <c r="O96" s="11"/>
      <c r="P96" s="11">
        <f t="shared" si="24"/>
        <v>976.38281750188787</v>
      </c>
      <c r="Q96" s="12">
        <f t="shared" si="26"/>
        <v>-122.50857249597732</v>
      </c>
      <c r="R96" s="10">
        <f t="shared" si="23"/>
        <v>-116974.45243435045</v>
      </c>
      <c r="S96" s="13"/>
      <c r="T96" s="10"/>
      <c r="U96" s="10"/>
      <c r="AD96" t="str">
        <f t="shared" si="27"/>
        <v>8-10</v>
      </c>
      <c r="AE96" s="3">
        <f t="shared" si="28"/>
        <v>68998.306438689891</v>
      </c>
      <c r="AF96" s="3">
        <f t="shared" si="29"/>
        <v>85593.51867615158</v>
      </c>
    </row>
    <row r="97" spans="6:32" x14ac:dyDescent="0.25">
      <c r="F97" s="2">
        <f t="shared" si="30"/>
        <v>8</v>
      </c>
      <c r="G97" s="2">
        <f t="shared" si="31"/>
        <v>11</v>
      </c>
      <c r="H97" s="10">
        <f t="shared" si="25"/>
        <v>-887.35615656627056</v>
      </c>
      <c r="I97" s="11">
        <f t="shared" si="19"/>
        <v>-271.07583832046896</v>
      </c>
      <c r="J97" s="10">
        <f t="shared" si="20"/>
        <v>-616.2803182458016</v>
      </c>
      <c r="K97" s="10">
        <f t="shared" si="21"/>
        <v>107814.05500994177</v>
      </c>
      <c r="L97" s="11">
        <f t="shared" si="22"/>
        <v>-211.53523343159463</v>
      </c>
      <c r="M97" s="11"/>
      <c r="N97" s="11"/>
      <c r="O97" s="11"/>
      <c r="P97" s="11">
        <f t="shared" si="24"/>
        <v>976.38281750188787</v>
      </c>
      <c r="Q97" s="12">
        <f t="shared" si="26"/>
        <v>-122.50857249597732</v>
      </c>
      <c r="R97" s="10">
        <f t="shared" si="23"/>
        <v>-117096.96100684642</v>
      </c>
      <c r="S97" s="13"/>
      <c r="T97" s="10"/>
      <c r="U97" s="10"/>
      <c r="AD97" t="str">
        <f t="shared" si="27"/>
        <v>8-11</v>
      </c>
      <c r="AE97" s="3">
        <f t="shared" si="28"/>
        <v>69480.917510441956</v>
      </c>
      <c r="AF97" s="3">
        <f t="shared" si="29"/>
        <v>86569.901493653466</v>
      </c>
    </row>
    <row r="98" spans="6:32" x14ac:dyDescent="0.25">
      <c r="F98" s="2">
        <f t="shared" si="30"/>
        <v>8</v>
      </c>
      <c r="G98" s="2">
        <f t="shared" si="31"/>
        <v>12</v>
      </c>
      <c r="H98" s="10">
        <f t="shared" si="25"/>
        <v>-887.35615656627056</v>
      </c>
      <c r="I98" s="11">
        <f t="shared" si="19"/>
        <v>-269.53513752485446</v>
      </c>
      <c r="J98" s="10">
        <f t="shared" si="20"/>
        <v>-617.82101904141609</v>
      </c>
      <c r="K98" s="10">
        <f t="shared" si="21"/>
        <v>107196.23399090036</v>
      </c>
      <c r="L98" s="11">
        <f t="shared" si="22"/>
        <v>-211.53523343159463</v>
      </c>
      <c r="M98" s="11"/>
      <c r="N98" s="11"/>
      <c r="O98" s="11"/>
      <c r="P98" s="11">
        <f t="shared" si="24"/>
        <v>976.38281750188787</v>
      </c>
      <c r="Q98" s="12">
        <f t="shared" si="26"/>
        <v>-122.50857249597732</v>
      </c>
      <c r="R98" s="10">
        <f t="shared" si="23"/>
        <v>-117219.4695793424</v>
      </c>
      <c r="S98" s="13"/>
      <c r="T98" s="10"/>
      <c r="U98" s="10"/>
      <c r="AD98" t="str">
        <f t="shared" si="27"/>
        <v>8-12</v>
      </c>
      <c r="AE98" s="3">
        <f t="shared" si="28"/>
        <v>69961.987881398411</v>
      </c>
      <c r="AF98" s="3">
        <f t="shared" si="29"/>
        <v>87546.284311155352</v>
      </c>
    </row>
    <row r="99" spans="6:32" x14ac:dyDescent="0.25">
      <c r="F99" s="2">
        <f t="shared" si="30"/>
        <v>9</v>
      </c>
      <c r="G99" s="2">
        <f t="shared" si="31"/>
        <v>1</v>
      </c>
      <c r="H99" s="10">
        <f t="shared" si="25"/>
        <v>-887.35615656627056</v>
      </c>
      <c r="I99" s="11">
        <f t="shared" si="19"/>
        <v>-267.99058497725093</v>
      </c>
      <c r="J99" s="10">
        <f t="shared" si="20"/>
        <v>-619.36557158901962</v>
      </c>
      <c r="K99" s="10">
        <f t="shared" si="21"/>
        <v>106576.86841931134</v>
      </c>
      <c r="L99" s="11">
        <f t="shared" si="22"/>
        <v>-213.83260476689321</v>
      </c>
      <c r="M99" s="11"/>
      <c r="N99" s="11"/>
      <c r="O99" s="11"/>
      <c r="P99" s="11">
        <f t="shared" si="24"/>
        <v>995.91047385192564</v>
      </c>
      <c r="Q99" s="12">
        <f t="shared" si="26"/>
        <v>-105.27828748123807</v>
      </c>
      <c r="R99" s="10">
        <f t="shared" si="23"/>
        <v>-117324.74786682364</v>
      </c>
      <c r="S99" s="13"/>
      <c r="T99" s="10"/>
      <c r="U99" s="10"/>
      <c r="AD99" t="str">
        <f t="shared" si="27"/>
        <v>9-1</v>
      </c>
      <c r="AE99" s="3">
        <f t="shared" si="28"/>
        <v>70443.811071142554</v>
      </c>
      <c r="AF99" s="3">
        <f t="shared" si="29"/>
        <v>88542.194785007276</v>
      </c>
    </row>
    <row r="100" spans="6:32" x14ac:dyDescent="0.25">
      <c r="F100" s="2">
        <f t="shared" si="30"/>
        <v>9</v>
      </c>
      <c r="G100" s="2">
        <f t="shared" si="31"/>
        <v>2</v>
      </c>
      <c r="H100" s="10">
        <f t="shared" si="25"/>
        <v>-887.35615656627056</v>
      </c>
      <c r="I100" s="11">
        <f t="shared" si="19"/>
        <v>-266.44217104827834</v>
      </c>
      <c r="J100" s="10">
        <f t="shared" si="20"/>
        <v>-620.91398551799216</v>
      </c>
      <c r="K100" s="10">
        <f t="shared" si="21"/>
        <v>105955.95443379335</v>
      </c>
      <c r="L100" s="11">
        <f t="shared" si="22"/>
        <v>-213.83260476689321</v>
      </c>
      <c r="M100" s="11"/>
      <c r="N100" s="11"/>
      <c r="O100" s="11"/>
      <c r="P100" s="11">
        <f t="shared" si="24"/>
        <v>995.91047385192564</v>
      </c>
      <c r="Q100" s="12">
        <f t="shared" si="26"/>
        <v>-105.27828748123807</v>
      </c>
      <c r="R100" s="10">
        <f t="shared" si="23"/>
        <v>-117430.02615430488</v>
      </c>
      <c r="S100" s="13"/>
      <c r="T100" s="10"/>
      <c r="U100" s="10"/>
      <c r="AD100" t="str">
        <f t="shared" si="27"/>
        <v>9-2</v>
      </c>
      <c r="AE100" s="3">
        <f t="shared" si="28"/>
        <v>70924.085846957722</v>
      </c>
      <c r="AF100" s="3">
        <f t="shared" si="29"/>
        <v>89538.105258859199</v>
      </c>
    </row>
    <row r="101" spans="6:32" x14ac:dyDescent="0.25">
      <c r="F101" s="2">
        <f t="shared" si="30"/>
        <v>9</v>
      </c>
      <c r="G101" s="2">
        <f t="shared" si="31"/>
        <v>3</v>
      </c>
      <c r="H101" s="10">
        <f t="shared" si="25"/>
        <v>-887.35615656627056</v>
      </c>
      <c r="I101" s="11">
        <f t="shared" si="19"/>
        <v>-264.88988608448335</v>
      </c>
      <c r="J101" s="10">
        <f t="shared" si="20"/>
        <v>-622.46627048178721</v>
      </c>
      <c r="K101" s="10">
        <f t="shared" si="21"/>
        <v>105333.48816331156</v>
      </c>
      <c r="L101" s="11">
        <f t="shared" si="22"/>
        <v>-213.83260476689321</v>
      </c>
      <c r="M101" s="11"/>
      <c r="N101" s="11"/>
      <c r="O101" s="11"/>
      <c r="P101" s="11">
        <f t="shared" si="24"/>
        <v>995.91047385192564</v>
      </c>
      <c r="Q101" s="12">
        <f t="shared" si="26"/>
        <v>-105.27828748123807</v>
      </c>
      <c r="R101" s="10">
        <f t="shared" si="23"/>
        <v>-117535.30444178612</v>
      </c>
      <c r="S101" s="13"/>
      <c r="T101" s="10"/>
      <c r="U101" s="10"/>
      <c r="AD101" t="str">
        <f t="shared" si="27"/>
        <v>9-3</v>
      </c>
      <c r="AE101" s="3">
        <f t="shared" si="28"/>
        <v>71402.808337809096</v>
      </c>
      <c r="AF101" s="3">
        <f t="shared" si="29"/>
        <v>90534.015732711123</v>
      </c>
    </row>
    <row r="102" spans="6:32" x14ac:dyDescent="0.25">
      <c r="F102" s="2">
        <f t="shared" si="30"/>
        <v>9</v>
      </c>
      <c r="G102" s="2">
        <f t="shared" si="31"/>
        <v>4</v>
      </c>
      <c r="H102" s="10">
        <f t="shared" si="25"/>
        <v>-887.35615656627056</v>
      </c>
      <c r="I102" s="11">
        <f t="shared" si="19"/>
        <v>-263.33372040827891</v>
      </c>
      <c r="J102" s="10">
        <f t="shared" si="20"/>
        <v>-624.02243615799171</v>
      </c>
      <c r="K102" s="10">
        <f t="shared" si="21"/>
        <v>104709.46572715357</v>
      </c>
      <c r="L102" s="11">
        <f t="shared" si="22"/>
        <v>-213.83260476689321</v>
      </c>
      <c r="M102" s="11"/>
      <c r="N102" s="11"/>
      <c r="O102" s="11"/>
      <c r="P102" s="11">
        <f t="shared" si="24"/>
        <v>995.91047385192564</v>
      </c>
      <c r="Q102" s="12">
        <f t="shared" si="26"/>
        <v>-105.27828748123807</v>
      </c>
      <c r="R102" s="10">
        <f t="shared" si="23"/>
        <v>-117640.58272926736</v>
      </c>
      <c r="S102" s="13"/>
      <c r="T102" s="10"/>
      <c r="U102" s="10"/>
      <c r="AD102" t="str">
        <f t="shared" si="27"/>
        <v>9-4</v>
      </c>
      <c r="AE102" s="3">
        <f t="shared" si="28"/>
        <v>71879.97466298427</v>
      </c>
      <c r="AF102" s="3">
        <f t="shared" si="29"/>
        <v>91529.926206563046</v>
      </c>
    </row>
    <row r="103" spans="6:32" x14ac:dyDescent="0.25">
      <c r="F103" s="2">
        <f t="shared" si="30"/>
        <v>9</v>
      </c>
      <c r="G103" s="2">
        <f t="shared" si="31"/>
        <v>5</v>
      </c>
      <c r="H103" s="10">
        <f t="shared" si="25"/>
        <v>-887.35615656627056</v>
      </c>
      <c r="I103" s="11">
        <f t="shared" si="19"/>
        <v>-261.77366431788391</v>
      </c>
      <c r="J103" s="10">
        <f t="shared" si="20"/>
        <v>-625.58249224838664</v>
      </c>
      <c r="K103" s="10">
        <f t="shared" si="21"/>
        <v>104083.88323490518</v>
      </c>
      <c r="L103" s="11">
        <f t="shared" si="22"/>
        <v>-213.83260476689321</v>
      </c>
      <c r="M103" s="11"/>
      <c r="N103" s="11"/>
      <c r="O103" s="11"/>
      <c r="P103" s="11">
        <f t="shared" si="24"/>
        <v>995.91047385192564</v>
      </c>
      <c r="Q103" s="12">
        <f t="shared" si="26"/>
        <v>-105.27828748123807</v>
      </c>
      <c r="R103" s="10">
        <f t="shared" si="23"/>
        <v>-117745.8610167486</v>
      </c>
      <c r="S103" s="13"/>
      <c r="T103" s="10"/>
      <c r="U103" s="10"/>
      <c r="AD103" t="str">
        <f t="shared" si="27"/>
        <v>9-5</v>
      </c>
      <c r="AE103" s="3">
        <f t="shared" si="28"/>
        <v>72355.580932069046</v>
      </c>
      <c r="AF103" s="3">
        <f t="shared" si="29"/>
        <v>92525.83668041497</v>
      </c>
    </row>
    <row r="104" spans="6:32" x14ac:dyDescent="0.25">
      <c r="F104" s="2">
        <f t="shared" si="30"/>
        <v>9</v>
      </c>
      <c r="G104" s="2">
        <f t="shared" si="31"/>
        <v>6</v>
      </c>
      <c r="H104" s="10">
        <f t="shared" si="25"/>
        <v>-887.35615656627056</v>
      </c>
      <c r="I104" s="11">
        <f t="shared" si="19"/>
        <v>-260.20970808726298</v>
      </c>
      <c r="J104" s="10">
        <f t="shared" si="20"/>
        <v>-627.14644847900763</v>
      </c>
      <c r="K104" s="10">
        <f t="shared" si="21"/>
        <v>103456.73678642618</v>
      </c>
      <c r="L104" s="11">
        <f t="shared" si="22"/>
        <v>-213.83260476689321</v>
      </c>
      <c r="M104" s="11"/>
      <c r="N104" s="11"/>
      <c r="O104" s="11"/>
      <c r="P104" s="11">
        <f t="shared" si="24"/>
        <v>995.91047385192564</v>
      </c>
      <c r="Q104" s="12">
        <f t="shared" si="26"/>
        <v>-105.27828748123807</v>
      </c>
      <c r="R104" s="10">
        <f t="shared" si="23"/>
        <v>-117851.13930422984</v>
      </c>
      <c r="S104" s="13"/>
      <c r="T104" s="10"/>
      <c r="U104" s="10"/>
      <c r="AD104" t="str">
        <f t="shared" si="27"/>
        <v>9-6</v>
      </c>
      <c r="AE104" s="3">
        <f t="shared" si="28"/>
        <v>72829.623244923205</v>
      </c>
      <c r="AF104" s="3">
        <f t="shared" si="29"/>
        <v>93521.747154266894</v>
      </c>
    </row>
    <row r="105" spans="6:32" x14ac:dyDescent="0.25">
      <c r="F105" s="2">
        <f t="shared" si="30"/>
        <v>9</v>
      </c>
      <c r="G105" s="2">
        <f t="shared" si="31"/>
        <v>7</v>
      </c>
      <c r="H105" s="10">
        <f t="shared" si="25"/>
        <v>-887.35615656627056</v>
      </c>
      <c r="I105" s="11">
        <f t="shared" si="19"/>
        <v>-258.64184196606544</v>
      </c>
      <c r="J105" s="10">
        <f t="shared" si="20"/>
        <v>-628.71431460020517</v>
      </c>
      <c r="K105" s="10">
        <f t="shared" si="21"/>
        <v>102828.02247182597</v>
      </c>
      <c r="L105" s="11">
        <f t="shared" si="22"/>
        <v>-213.83260476689321</v>
      </c>
      <c r="M105" s="11"/>
      <c r="N105" s="11"/>
      <c r="O105" s="11"/>
      <c r="P105" s="11">
        <f t="shared" si="24"/>
        <v>995.91047385192564</v>
      </c>
      <c r="Q105" s="12">
        <f t="shared" si="26"/>
        <v>-105.27828748123807</v>
      </c>
      <c r="R105" s="10">
        <f t="shared" si="23"/>
        <v>-117956.41759171108</v>
      </c>
      <c r="S105" s="13"/>
      <c r="T105" s="10"/>
      <c r="U105" s="10"/>
      <c r="AD105" t="str">
        <f t="shared" si="27"/>
        <v>9-7</v>
      </c>
      <c r="AE105" s="3">
        <f t="shared" si="28"/>
        <v>73302.097691656163</v>
      </c>
      <c r="AF105" s="3">
        <f t="shared" si="29"/>
        <v>94517.657628118817</v>
      </c>
    </row>
    <row r="106" spans="6:32" x14ac:dyDescent="0.25">
      <c r="F106" s="2">
        <f t="shared" si="30"/>
        <v>9</v>
      </c>
      <c r="G106" s="2">
        <f t="shared" si="31"/>
        <v>8</v>
      </c>
      <c r="H106" s="10">
        <f t="shared" si="25"/>
        <v>-887.35615656627056</v>
      </c>
      <c r="I106" s="11">
        <f t="shared" si="19"/>
        <v>-257.07005617956492</v>
      </c>
      <c r="J106" s="10">
        <f t="shared" si="20"/>
        <v>-630.28610038670558</v>
      </c>
      <c r="K106" s="10">
        <f t="shared" si="21"/>
        <v>102197.73637143927</v>
      </c>
      <c r="L106" s="11">
        <f t="shared" si="22"/>
        <v>-213.83260476689321</v>
      </c>
      <c r="M106" s="11"/>
      <c r="N106" s="11"/>
      <c r="O106" s="11"/>
      <c r="P106" s="11">
        <f t="shared" si="24"/>
        <v>995.91047385192564</v>
      </c>
      <c r="Q106" s="12">
        <f t="shared" si="26"/>
        <v>-105.27828748123807</v>
      </c>
      <c r="R106" s="10">
        <f t="shared" si="23"/>
        <v>-118061.69587919232</v>
      </c>
      <c r="S106" s="13"/>
      <c r="T106" s="10"/>
      <c r="U106" s="10"/>
      <c r="AD106" t="str">
        <f t="shared" si="27"/>
        <v>9-8</v>
      </c>
      <c r="AE106" s="3">
        <f t="shared" si="28"/>
        <v>73773.000352602627</v>
      </c>
      <c r="AF106" s="3">
        <f t="shared" si="29"/>
        <v>95513.568101970741</v>
      </c>
    </row>
    <row r="107" spans="6:32" x14ac:dyDescent="0.25">
      <c r="F107" s="2">
        <f t="shared" si="30"/>
        <v>9</v>
      </c>
      <c r="G107" s="2">
        <f t="shared" si="31"/>
        <v>9</v>
      </c>
      <c r="H107" s="10">
        <f t="shared" si="25"/>
        <v>-887.35615656627056</v>
      </c>
      <c r="I107" s="11">
        <f t="shared" si="19"/>
        <v>-255.49434092859818</v>
      </c>
      <c r="J107" s="10">
        <f t="shared" si="20"/>
        <v>-631.86181563767241</v>
      </c>
      <c r="K107" s="10">
        <f t="shared" si="21"/>
        <v>101565.87455580159</v>
      </c>
      <c r="L107" s="11">
        <f t="shared" si="22"/>
        <v>-213.83260476689321</v>
      </c>
      <c r="M107" s="11"/>
      <c r="N107" s="11"/>
      <c r="O107" s="11"/>
      <c r="P107" s="11">
        <f t="shared" si="24"/>
        <v>995.91047385192564</v>
      </c>
      <c r="Q107" s="12">
        <f t="shared" si="26"/>
        <v>-105.27828748123807</v>
      </c>
      <c r="R107" s="10">
        <f t="shared" si="23"/>
        <v>-118166.97416667356</v>
      </c>
      <c r="S107" s="13"/>
      <c r="T107" s="10"/>
      <c r="U107" s="10"/>
      <c r="AD107" t="str">
        <f t="shared" si="27"/>
        <v>9-9</v>
      </c>
      <c r="AE107" s="3">
        <f t="shared" si="28"/>
        <v>74242.327298298114</v>
      </c>
      <c r="AF107" s="3">
        <f t="shared" si="29"/>
        <v>96509.478575822664</v>
      </c>
    </row>
    <row r="108" spans="6:32" x14ac:dyDescent="0.25">
      <c r="F108" s="2">
        <f t="shared" si="30"/>
        <v>9</v>
      </c>
      <c r="G108" s="2">
        <f t="shared" si="31"/>
        <v>10</v>
      </c>
      <c r="H108" s="10">
        <f t="shared" si="25"/>
        <v>-887.35615656627056</v>
      </c>
      <c r="I108" s="11">
        <f t="shared" si="19"/>
        <v>-253.914686389504</v>
      </c>
      <c r="J108" s="10">
        <f t="shared" si="20"/>
        <v>-633.44147017676653</v>
      </c>
      <c r="K108" s="10">
        <f t="shared" si="21"/>
        <v>100932.43308562483</v>
      </c>
      <c r="L108" s="11">
        <f t="shared" si="22"/>
        <v>-213.83260476689321</v>
      </c>
      <c r="M108" s="11"/>
      <c r="N108" s="11"/>
      <c r="O108" s="11"/>
      <c r="P108" s="11">
        <f t="shared" si="24"/>
        <v>995.91047385192564</v>
      </c>
      <c r="Q108" s="12">
        <f t="shared" si="26"/>
        <v>-105.27828748123807</v>
      </c>
      <c r="R108" s="10">
        <f t="shared" si="23"/>
        <v>-118272.2524541548</v>
      </c>
      <c r="S108" s="13"/>
      <c r="T108" s="10"/>
      <c r="U108" s="10"/>
      <c r="AD108" t="str">
        <f t="shared" si="27"/>
        <v>9-10</v>
      </c>
      <c r="AE108" s="3">
        <f t="shared" si="28"/>
        <v>74710.074589454511</v>
      </c>
      <c r="AF108" s="3">
        <f t="shared" si="29"/>
        <v>97505.389049674588</v>
      </c>
    </row>
    <row r="109" spans="6:32" x14ac:dyDescent="0.25">
      <c r="F109" s="2">
        <f t="shared" si="30"/>
        <v>9</v>
      </c>
      <c r="G109" s="2">
        <f t="shared" si="31"/>
        <v>11</v>
      </c>
      <c r="H109" s="10">
        <f t="shared" si="25"/>
        <v>-887.35615656627056</v>
      </c>
      <c r="I109" s="11">
        <f t="shared" si="19"/>
        <v>-252.33108271406206</v>
      </c>
      <c r="J109" s="10">
        <f t="shared" si="20"/>
        <v>-635.02507385220849</v>
      </c>
      <c r="K109" s="10">
        <f t="shared" si="21"/>
        <v>100297.40801177261</v>
      </c>
      <c r="L109" s="11">
        <f t="shared" si="22"/>
        <v>-213.83260476689321</v>
      </c>
      <c r="M109" s="11"/>
      <c r="N109" s="11"/>
      <c r="O109" s="11"/>
      <c r="P109" s="11">
        <f t="shared" si="24"/>
        <v>995.91047385192564</v>
      </c>
      <c r="Q109" s="12">
        <f t="shared" si="26"/>
        <v>-105.27828748123807</v>
      </c>
      <c r="R109" s="10">
        <f t="shared" si="23"/>
        <v>-118377.53074163604</v>
      </c>
      <c r="S109" s="13"/>
      <c r="T109" s="10"/>
      <c r="U109" s="10"/>
      <c r="AD109" t="str">
        <f t="shared" si="27"/>
        <v>9-11</v>
      </c>
      <c r="AE109" s="3">
        <f t="shared" si="28"/>
        <v>75176.238276935459</v>
      </c>
      <c r="AF109" s="3">
        <f t="shared" si="29"/>
        <v>98501.299523526512</v>
      </c>
    </row>
    <row r="110" spans="6:32" x14ac:dyDescent="0.25">
      <c r="F110" s="2">
        <f t="shared" si="30"/>
        <v>9</v>
      </c>
      <c r="G110" s="2">
        <f t="shared" si="31"/>
        <v>12</v>
      </c>
      <c r="H110" s="10">
        <f t="shared" si="25"/>
        <v>-887.35615656627056</v>
      </c>
      <c r="I110" s="11">
        <f t="shared" si="19"/>
        <v>-250.74352002943152</v>
      </c>
      <c r="J110" s="10">
        <f t="shared" si="20"/>
        <v>-636.61263653683909</v>
      </c>
      <c r="K110" s="10">
        <f t="shared" si="21"/>
        <v>99660.795375235772</v>
      </c>
      <c r="L110" s="11">
        <f t="shared" si="22"/>
        <v>-213.83260476689321</v>
      </c>
      <c r="M110" s="11"/>
      <c r="N110" s="11"/>
      <c r="O110" s="11"/>
      <c r="P110" s="11">
        <f t="shared" si="24"/>
        <v>995.91047385192564</v>
      </c>
      <c r="Q110" s="12">
        <f t="shared" si="26"/>
        <v>-105.27828748123807</v>
      </c>
      <c r="R110" s="10">
        <f t="shared" si="23"/>
        <v>-118482.80902911728</v>
      </c>
      <c r="S110" s="13"/>
      <c r="T110" s="10"/>
      <c r="U110" s="10"/>
      <c r="AD110" t="str">
        <f t="shared" si="27"/>
        <v>9-12</v>
      </c>
      <c r="AE110" s="3">
        <f t="shared" si="28"/>
        <v>75640.814401731783</v>
      </c>
      <c r="AF110" s="3">
        <f t="shared" si="29"/>
        <v>99497.209997378435</v>
      </c>
    </row>
    <row r="111" spans="6:32" x14ac:dyDescent="0.25">
      <c r="F111" s="2">
        <f t="shared" si="30"/>
        <v>10</v>
      </c>
      <c r="G111" s="2">
        <f t="shared" si="31"/>
        <v>1</v>
      </c>
      <c r="H111" s="10">
        <f t="shared" si="25"/>
        <v>-887.35615656627056</v>
      </c>
      <c r="I111" s="11">
        <f t="shared" si="19"/>
        <v>-249.15198843808943</v>
      </c>
      <c r="J111" s="10">
        <f t="shared" si="20"/>
        <v>-638.2041681281811</v>
      </c>
      <c r="K111" s="10">
        <f t="shared" si="21"/>
        <v>99022.591207107587</v>
      </c>
      <c r="L111" s="11">
        <f t="shared" si="22"/>
        <v>-216.17592352889773</v>
      </c>
      <c r="M111" s="11"/>
      <c r="N111" s="11"/>
      <c r="O111" s="11"/>
      <c r="P111" s="11">
        <f t="shared" si="24"/>
        <v>1015.8286833289642</v>
      </c>
      <c r="Q111" s="12">
        <f t="shared" si="26"/>
        <v>-87.70339676620415</v>
      </c>
      <c r="R111" s="10">
        <f t="shared" si="23"/>
        <v>-118570.51242588348</v>
      </c>
      <c r="S111" s="13"/>
      <c r="T111" s="10"/>
      <c r="U111" s="10"/>
      <c r="AD111" t="str">
        <f t="shared" si="27"/>
        <v>10-1</v>
      </c>
      <c r="AE111" s="3">
        <f t="shared" si="28"/>
        <v>76106.142313698772</v>
      </c>
      <c r="AF111" s="3">
        <f t="shared" si="29"/>
        <v>100513.0386807074</v>
      </c>
    </row>
    <row r="112" spans="6:32" x14ac:dyDescent="0.25">
      <c r="F112" s="2">
        <f t="shared" si="30"/>
        <v>10</v>
      </c>
      <c r="G112" s="2">
        <f t="shared" si="31"/>
        <v>2</v>
      </c>
      <c r="H112" s="10">
        <f t="shared" si="25"/>
        <v>-887.35615656627056</v>
      </c>
      <c r="I112" s="11">
        <f t="shared" si="19"/>
        <v>-247.55647801776897</v>
      </c>
      <c r="J112" s="10">
        <f t="shared" si="20"/>
        <v>-639.79967854850156</v>
      </c>
      <c r="K112" s="10">
        <f t="shared" si="21"/>
        <v>98382.791528559086</v>
      </c>
      <c r="L112" s="11">
        <f t="shared" si="22"/>
        <v>-216.17592352889773</v>
      </c>
      <c r="M112" s="11"/>
      <c r="N112" s="11"/>
      <c r="O112" s="11"/>
      <c r="P112" s="11">
        <f t="shared" si="24"/>
        <v>1015.8286833289642</v>
      </c>
      <c r="Q112" s="12">
        <f t="shared" si="26"/>
        <v>-87.70339676620415</v>
      </c>
      <c r="R112" s="10">
        <f t="shared" si="23"/>
        <v>-118658.21582264968</v>
      </c>
      <c r="S112" s="13"/>
      <c r="T112" s="10"/>
      <c r="U112" s="10"/>
      <c r="AD112" t="str">
        <f t="shared" si="27"/>
        <v>10-2</v>
      </c>
      <c r="AE112" s="3">
        <f t="shared" si="28"/>
        <v>76569.874715245445</v>
      </c>
      <c r="AF112" s="3">
        <f t="shared" si="29"/>
        <v>101528.86736403636</v>
      </c>
    </row>
    <row r="113" spans="6:32" x14ac:dyDescent="0.25">
      <c r="F113" s="2">
        <f t="shared" si="30"/>
        <v>10</v>
      </c>
      <c r="G113" s="2">
        <f t="shared" si="31"/>
        <v>3</v>
      </c>
      <c r="H113" s="10">
        <f t="shared" si="25"/>
        <v>-887.35615656627056</v>
      </c>
      <c r="I113" s="11">
        <f t="shared" si="19"/>
        <v>-245.95697882139771</v>
      </c>
      <c r="J113" s="10">
        <f t="shared" si="20"/>
        <v>-641.39917774487287</v>
      </c>
      <c r="K113" s="10">
        <f t="shared" si="21"/>
        <v>97741.392350814218</v>
      </c>
      <c r="L113" s="11">
        <f t="shared" si="22"/>
        <v>-216.17592352889773</v>
      </c>
      <c r="M113" s="11"/>
      <c r="N113" s="11"/>
      <c r="O113" s="11"/>
      <c r="P113" s="11">
        <f t="shared" si="24"/>
        <v>1015.8286833289642</v>
      </c>
      <c r="Q113" s="12">
        <f t="shared" si="26"/>
        <v>-87.70339676620415</v>
      </c>
      <c r="R113" s="10">
        <f t="shared" si="23"/>
        <v>-118745.91921941588</v>
      </c>
      <c r="S113" s="13"/>
      <c r="T113" s="10"/>
      <c r="U113" s="10"/>
      <c r="AD113" t="str">
        <f t="shared" si="27"/>
        <v>10-3</v>
      </c>
      <c r="AE113" s="3">
        <f t="shared" si="28"/>
        <v>77032.007617595737</v>
      </c>
      <c r="AF113" s="3">
        <f t="shared" si="29"/>
        <v>102544.69604736532</v>
      </c>
    </row>
    <row r="114" spans="6:32" x14ac:dyDescent="0.25">
      <c r="F114" s="2">
        <f t="shared" si="30"/>
        <v>10</v>
      </c>
      <c r="G114" s="2">
        <f t="shared" si="31"/>
        <v>4</v>
      </c>
      <c r="H114" s="10">
        <f t="shared" si="25"/>
        <v>-887.35615656627056</v>
      </c>
      <c r="I114" s="11">
        <f t="shared" si="19"/>
        <v>-244.35348087703554</v>
      </c>
      <c r="J114" s="10">
        <f t="shared" si="20"/>
        <v>-643.00267568923505</v>
      </c>
      <c r="K114" s="10">
        <f t="shared" si="21"/>
        <v>97098.389675124985</v>
      </c>
      <c r="L114" s="11">
        <f t="shared" si="22"/>
        <v>-216.17592352889773</v>
      </c>
      <c r="M114" s="11"/>
      <c r="N114" s="11"/>
      <c r="O114" s="11"/>
      <c r="P114" s="11">
        <f t="shared" si="24"/>
        <v>1015.8286833289642</v>
      </c>
      <c r="Q114" s="12">
        <f t="shared" si="26"/>
        <v>-87.70339676620415</v>
      </c>
      <c r="R114" s="10">
        <f t="shared" si="23"/>
        <v>-118833.62261618208</v>
      </c>
      <c r="S114" s="13"/>
      <c r="T114" s="10"/>
      <c r="U114" s="10"/>
      <c r="AD114" t="str">
        <f t="shared" si="27"/>
        <v>10-4</v>
      </c>
      <c r="AE114" s="3">
        <f t="shared" si="28"/>
        <v>77492.537022001663</v>
      </c>
      <c r="AF114" s="3">
        <f t="shared" si="29"/>
        <v>103560.52473069428</v>
      </c>
    </row>
    <row r="115" spans="6:32" x14ac:dyDescent="0.25">
      <c r="F115" s="2">
        <f t="shared" si="30"/>
        <v>10</v>
      </c>
      <c r="G115" s="2">
        <f t="shared" si="31"/>
        <v>5</v>
      </c>
      <c r="H115" s="10">
        <f t="shared" si="25"/>
        <v>-887.35615656627056</v>
      </c>
      <c r="I115" s="11">
        <f t="shared" si="19"/>
        <v>-242.74597418781246</v>
      </c>
      <c r="J115" s="10">
        <f t="shared" si="20"/>
        <v>-644.61018237845815</v>
      </c>
      <c r="K115" s="10">
        <f t="shared" si="21"/>
        <v>96453.779492746529</v>
      </c>
      <c r="L115" s="11">
        <f t="shared" si="22"/>
        <v>-216.17592352889773</v>
      </c>
      <c r="M115" s="11"/>
      <c r="N115" s="11"/>
      <c r="O115" s="11"/>
      <c r="P115" s="11">
        <f t="shared" si="24"/>
        <v>1015.8286833289642</v>
      </c>
      <c r="Q115" s="12">
        <f t="shared" si="26"/>
        <v>-87.70339676620415</v>
      </c>
      <c r="R115" s="10">
        <f t="shared" si="23"/>
        <v>-118921.32601294828</v>
      </c>
      <c r="S115" s="13"/>
      <c r="T115" s="10"/>
      <c r="U115" s="10"/>
      <c r="AD115" t="str">
        <f t="shared" si="27"/>
        <v>10-5</v>
      </c>
      <c r="AE115" s="3">
        <f t="shared" si="28"/>
        <v>77951.458919718367</v>
      </c>
      <c r="AF115" s="3">
        <f t="shared" si="29"/>
        <v>104576.35341402324</v>
      </c>
    </row>
    <row r="116" spans="6:32" x14ac:dyDescent="0.25">
      <c r="F116" s="2">
        <f t="shared" si="30"/>
        <v>10</v>
      </c>
      <c r="G116" s="2">
        <f t="shared" si="31"/>
        <v>6</v>
      </c>
      <c r="H116" s="10">
        <f t="shared" si="25"/>
        <v>-887.35615656627056</v>
      </c>
      <c r="I116" s="11">
        <f t="shared" si="19"/>
        <v>-241.13444873186631</v>
      </c>
      <c r="J116" s="10">
        <f t="shared" si="20"/>
        <v>-646.22170783440424</v>
      </c>
      <c r="K116" s="10">
        <f t="shared" si="21"/>
        <v>95807.557784912118</v>
      </c>
      <c r="L116" s="11">
        <f t="shared" si="22"/>
        <v>-216.17592352889773</v>
      </c>
      <c r="M116" s="11"/>
      <c r="N116" s="11"/>
      <c r="O116" s="11"/>
      <c r="P116" s="11">
        <f t="shared" si="24"/>
        <v>1015.8286833289642</v>
      </c>
      <c r="Q116" s="12">
        <f t="shared" si="26"/>
        <v>-87.70339676620415</v>
      </c>
      <c r="R116" s="10">
        <f t="shared" si="23"/>
        <v>-119009.02940971448</v>
      </c>
      <c r="S116" s="13"/>
      <c r="T116" s="10"/>
      <c r="U116" s="10"/>
      <c r="AD116" t="str">
        <f t="shared" si="27"/>
        <v>10-6</v>
      </c>
      <c r="AE116" s="3">
        <f t="shared" si="28"/>
        <v>78408.76929197913</v>
      </c>
      <c r="AF116" s="3">
        <f t="shared" si="29"/>
        <v>105592.1820973522</v>
      </c>
    </row>
    <row r="117" spans="6:32" x14ac:dyDescent="0.25">
      <c r="F117" s="2">
        <f t="shared" si="30"/>
        <v>10</v>
      </c>
      <c r="G117" s="2">
        <f t="shared" si="31"/>
        <v>7</v>
      </c>
      <c r="H117" s="10">
        <f t="shared" si="25"/>
        <v>-887.35615656627056</v>
      </c>
      <c r="I117" s="11">
        <f t="shared" si="19"/>
        <v>-239.51889446228029</v>
      </c>
      <c r="J117" s="10">
        <f t="shared" si="20"/>
        <v>-647.83726210399027</v>
      </c>
      <c r="K117" s="10">
        <f t="shared" si="21"/>
        <v>95159.720522808129</v>
      </c>
      <c r="L117" s="11">
        <f t="shared" si="22"/>
        <v>-216.17592352889773</v>
      </c>
      <c r="M117" s="11"/>
      <c r="N117" s="11"/>
      <c r="O117" s="11"/>
      <c r="P117" s="11">
        <f t="shared" si="24"/>
        <v>1015.8286833289642</v>
      </c>
      <c r="Q117" s="12">
        <f t="shared" si="26"/>
        <v>-87.70339676620415</v>
      </c>
      <c r="R117" s="10">
        <f t="shared" si="23"/>
        <v>-119096.73280648068</v>
      </c>
      <c r="S117" s="13"/>
      <c r="T117" s="10"/>
      <c r="U117" s="10"/>
      <c r="AD117" t="str">
        <f t="shared" si="27"/>
        <v>10-7</v>
      </c>
      <c r="AE117" s="3">
        <f t="shared" si="28"/>
        <v>78864.464109970315</v>
      </c>
      <c r="AF117" s="3">
        <f t="shared" si="29"/>
        <v>106608.01078068116</v>
      </c>
    </row>
    <row r="118" spans="6:32" x14ac:dyDescent="0.25">
      <c r="F118" s="2">
        <f t="shared" si="30"/>
        <v>10</v>
      </c>
      <c r="G118" s="2">
        <f t="shared" si="31"/>
        <v>8</v>
      </c>
      <c r="H118" s="10">
        <f t="shared" si="25"/>
        <v>-887.35615656627056</v>
      </c>
      <c r="I118" s="11">
        <f t="shared" si="19"/>
        <v>-237.89930130702032</v>
      </c>
      <c r="J118" s="10">
        <f t="shared" si="20"/>
        <v>-649.45685525925023</v>
      </c>
      <c r="K118" s="10">
        <f t="shared" si="21"/>
        <v>94510.263667548876</v>
      </c>
      <c r="L118" s="11">
        <f t="shared" si="22"/>
        <v>-216.17592352889773</v>
      </c>
      <c r="M118" s="11"/>
      <c r="N118" s="11"/>
      <c r="O118" s="11"/>
      <c r="P118" s="11">
        <f t="shared" si="24"/>
        <v>1015.8286833289642</v>
      </c>
      <c r="Q118" s="12">
        <f t="shared" si="26"/>
        <v>-87.70339676620415</v>
      </c>
      <c r="R118" s="10">
        <f t="shared" si="23"/>
        <v>-119184.43620324688</v>
      </c>
      <c r="S118" s="13"/>
      <c r="T118" s="10"/>
      <c r="U118" s="10"/>
      <c r="AD118" t="str">
        <f t="shared" si="27"/>
        <v>10-8</v>
      </c>
      <c r="AE118" s="3">
        <f t="shared" si="28"/>
        <v>79318.539334806235</v>
      </c>
      <c r="AF118" s="3">
        <f t="shared" si="29"/>
        <v>107623.83946401012</v>
      </c>
    </row>
    <row r="119" spans="6:32" x14ac:dyDescent="0.25">
      <c r="F119" s="2">
        <f t="shared" si="30"/>
        <v>10</v>
      </c>
      <c r="G119" s="2">
        <f t="shared" si="31"/>
        <v>9</v>
      </c>
      <c r="H119" s="10">
        <f t="shared" si="25"/>
        <v>-887.35615656627056</v>
      </c>
      <c r="I119" s="11">
        <f t="shared" si="19"/>
        <v>-236.27565916887218</v>
      </c>
      <c r="J119" s="10">
        <f t="shared" si="20"/>
        <v>-651.0804973973984</v>
      </c>
      <c r="K119" s="10">
        <f t="shared" si="21"/>
        <v>93859.183170151475</v>
      </c>
      <c r="L119" s="11">
        <f t="shared" si="22"/>
        <v>-216.17592352889773</v>
      </c>
      <c r="M119" s="11"/>
      <c r="N119" s="11"/>
      <c r="O119" s="11"/>
      <c r="P119" s="11">
        <f t="shared" si="24"/>
        <v>1015.8286833289642</v>
      </c>
      <c r="Q119" s="12">
        <f t="shared" si="26"/>
        <v>-87.70339676620415</v>
      </c>
      <c r="R119" s="10">
        <f t="shared" si="23"/>
        <v>-119272.13960001308</v>
      </c>
      <c r="S119" s="13"/>
      <c r="T119" s="10"/>
      <c r="U119" s="10"/>
      <c r="AD119" t="str">
        <f t="shared" si="27"/>
        <v>10-9</v>
      </c>
      <c r="AE119" s="3">
        <f t="shared" si="28"/>
        <v>79770.990917504008</v>
      </c>
      <c r="AF119" s="3">
        <f t="shared" si="29"/>
        <v>108639.66814733908</v>
      </c>
    </row>
    <row r="120" spans="6:32" x14ac:dyDescent="0.25">
      <c r="F120" s="2">
        <f t="shared" si="30"/>
        <v>10</v>
      </c>
      <c r="G120" s="2">
        <f t="shared" si="31"/>
        <v>10</v>
      </c>
      <c r="H120" s="10">
        <f t="shared" si="25"/>
        <v>-887.35615656627056</v>
      </c>
      <c r="I120" s="11">
        <f t="shared" si="19"/>
        <v>-234.64795792537871</v>
      </c>
      <c r="J120" s="10">
        <f t="shared" si="20"/>
        <v>-652.70819864089185</v>
      </c>
      <c r="K120" s="10">
        <f t="shared" si="21"/>
        <v>93206.474971510586</v>
      </c>
      <c r="L120" s="11">
        <f t="shared" si="22"/>
        <v>-216.17592352889773</v>
      </c>
      <c r="M120" s="11"/>
      <c r="N120" s="11"/>
      <c r="O120" s="11"/>
      <c r="P120" s="11">
        <f t="shared" si="24"/>
        <v>1015.8286833289642</v>
      </c>
      <c r="Q120" s="12">
        <f t="shared" si="26"/>
        <v>-87.70339676620415</v>
      </c>
      <c r="R120" s="10">
        <f t="shared" si="23"/>
        <v>-119359.84299677928</v>
      </c>
      <c r="S120" s="13"/>
      <c r="T120" s="10"/>
      <c r="U120" s="10"/>
      <c r="AD120" t="str">
        <f t="shared" si="27"/>
        <v>10-10</v>
      </c>
      <c r="AE120" s="3">
        <f t="shared" si="28"/>
        <v>80221.814798958279</v>
      </c>
      <c r="AF120" s="3">
        <f t="shared" si="29"/>
        <v>109655.49683066804</v>
      </c>
    </row>
    <row r="121" spans="6:32" x14ac:dyDescent="0.25">
      <c r="F121" s="2">
        <f t="shared" si="30"/>
        <v>10</v>
      </c>
      <c r="G121" s="2">
        <f t="shared" si="31"/>
        <v>11</v>
      </c>
      <c r="H121" s="10">
        <f t="shared" si="25"/>
        <v>-887.35615656627056</v>
      </c>
      <c r="I121" s="11">
        <f t="shared" si="19"/>
        <v>-233.01618742877648</v>
      </c>
      <c r="J121" s="10">
        <f t="shared" si="20"/>
        <v>-654.33996913749411</v>
      </c>
      <c r="K121" s="10">
        <f t="shared" si="21"/>
        <v>92552.135002373092</v>
      </c>
      <c r="L121" s="11">
        <f t="shared" si="22"/>
        <v>-216.17592352889773</v>
      </c>
      <c r="M121" s="11"/>
      <c r="N121" s="11"/>
      <c r="O121" s="11"/>
      <c r="P121" s="11">
        <f t="shared" si="24"/>
        <v>1015.8286833289642</v>
      </c>
      <c r="Q121" s="12">
        <f t="shared" si="26"/>
        <v>-87.70339676620415</v>
      </c>
      <c r="R121" s="10">
        <f t="shared" si="23"/>
        <v>-119447.54639354548</v>
      </c>
      <c r="S121" s="13"/>
      <c r="T121" s="10"/>
      <c r="U121" s="10"/>
      <c r="AD121" t="str">
        <f t="shared" si="27"/>
        <v>10-11</v>
      </c>
      <c r="AE121" s="3">
        <f t="shared" si="28"/>
        <v>80671.006909915959</v>
      </c>
      <c r="AF121" s="3">
        <f t="shared" si="29"/>
        <v>110671.325513997</v>
      </c>
    </row>
    <row r="122" spans="6:32" x14ac:dyDescent="0.25">
      <c r="F122" s="2">
        <f t="shared" si="30"/>
        <v>10</v>
      </c>
      <c r="G122" s="2">
        <f t="shared" si="31"/>
        <v>12</v>
      </c>
      <c r="H122" s="10">
        <f t="shared" si="25"/>
        <v>-887.35615656627056</v>
      </c>
      <c r="I122" s="11">
        <f t="shared" si="19"/>
        <v>-231.38033750593274</v>
      </c>
      <c r="J122" s="10">
        <f t="shared" si="20"/>
        <v>-655.97581906033781</v>
      </c>
      <c r="K122" s="10">
        <f t="shared" si="21"/>
        <v>91896.15918331276</v>
      </c>
      <c r="L122" s="11">
        <f t="shared" si="22"/>
        <v>-216.17592352889773</v>
      </c>
      <c r="M122" s="11"/>
      <c r="N122" s="11"/>
      <c r="O122" s="11"/>
      <c r="P122" s="11">
        <f t="shared" si="24"/>
        <v>1015.8286833289642</v>
      </c>
      <c r="Q122" s="10">
        <f>L122+H122+O122+P122+(N122-$C$30)*(1-$C$33)+$C$30</f>
        <v>31797.205487781393</v>
      </c>
      <c r="R122" s="10">
        <f t="shared" si="23"/>
        <v>-87650.340905764082</v>
      </c>
      <c r="S122" s="13"/>
      <c r="T122" s="10"/>
      <c r="U122" s="10"/>
      <c r="AD122" t="str">
        <f t="shared" si="27"/>
        <v>10-12</v>
      </c>
      <c r="AE122" s="3">
        <f t="shared" si="28"/>
        <v>81118.563170950787</v>
      </c>
      <c r="AF122" s="3">
        <f t="shared" si="29"/>
        <v>111687.15419732596</v>
      </c>
    </row>
    <row r="123" spans="6:32" x14ac:dyDescent="0.25">
      <c r="F123" s="2">
        <f>F111+1</f>
        <v>11</v>
      </c>
      <c r="G123" s="2">
        <f>G111</f>
        <v>1</v>
      </c>
      <c r="H123" s="10">
        <f t="shared" si="25"/>
        <v>-887.35615656627056</v>
      </c>
      <c r="I123" s="11">
        <f t="shared" ref="I123:I186" si="32">-K122*$D$12</f>
        <v>-229.7403979582819</v>
      </c>
      <c r="J123" s="10">
        <f t="shared" ref="J123:J186" si="33">H123-I123</f>
        <v>-657.61575860798871</v>
      </c>
      <c r="K123" s="10">
        <f t="shared" ref="K123:K186" si="34">K122+J123</f>
        <v>91238.543424704767</v>
      </c>
      <c r="L123" s="11">
        <f t="shared" ref="L123:L186" si="35">-($C$15/12+$C$17*$C$11/12+$C$18/12*(1+$C$19)^($F123-1)+$C$20*S123/12)</f>
        <v>-218.56610866614238</v>
      </c>
      <c r="M123" s="11"/>
      <c r="N123" s="11"/>
      <c r="O123" s="11"/>
      <c r="P123" s="11"/>
      <c r="Q123" s="12"/>
      <c r="R123" s="10"/>
      <c r="S123" s="13"/>
      <c r="T123" s="10"/>
      <c r="U123" s="10"/>
      <c r="AD123" t="str">
        <f t="shared" si="27"/>
        <v>11-1</v>
      </c>
      <c r="AE123" s="3">
        <f t="shared" si="28"/>
        <v>81566.869677575218</v>
      </c>
      <c r="AF123" s="3">
        <f t="shared" si="29"/>
        <v>111687.15419732596</v>
      </c>
    </row>
    <row r="124" spans="6:32" x14ac:dyDescent="0.25">
      <c r="F124" s="2">
        <f>F112+1</f>
        <v>11</v>
      </c>
      <c r="G124" s="2">
        <f>G112</f>
        <v>2</v>
      </c>
      <c r="H124" s="10">
        <f t="shared" si="25"/>
        <v>-887.35615656627056</v>
      </c>
      <c r="I124" s="11">
        <f t="shared" si="32"/>
        <v>-228.09635856176192</v>
      </c>
      <c r="J124" s="10">
        <f t="shared" si="33"/>
        <v>-659.25979800450864</v>
      </c>
      <c r="K124" s="10">
        <f t="shared" si="34"/>
        <v>90579.283626700257</v>
      </c>
      <c r="L124" s="11">
        <f t="shared" si="35"/>
        <v>-218.56610866614238</v>
      </c>
      <c r="M124" s="11"/>
      <c r="N124" s="11"/>
      <c r="O124" s="11"/>
      <c r="P124" s="11"/>
      <c r="Q124" s="12"/>
      <c r="R124" s="10"/>
      <c r="S124" s="13"/>
      <c r="T124" s="10"/>
      <c r="U124" s="10"/>
      <c r="AD124" t="str">
        <f t="shared" si="27"/>
        <v>11-2</v>
      </c>
      <c r="AE124" s="3">
        <f t="shared" si="28"/>
        <v>82013.532144803117</v>
      </c>
      <c r="AF124" s="3">
        <f t="shared" si="29"/>
        <v>111687.15419732596</v>
      </c>
    </row>
    <row r="125" spans="6:32" x14ac:dyDescent="0.25">
      <c r="F125" s="2">
        <f t="shared" ref="F125:F188" si="36">F113+1</f>
        <v>11</v>
      </c>
      <c r="G125" s="2">
        <f t="shared" ref="G125:G188" si="37">G113</f>
        <v>3</v>
      </c>
      <c r="H125" s="10">
        <f t="shared" si="25"/>
        <v>-887.35615656627056</v>
      </c>
      <c r="I125" s="11">
        <f t="shared" si="32"/>
        <v>-226.44820906675065</v>
      </c>
      <c r="J125" s="10">
        <f t="shared" si="33"/>
        <v>-660.90794749951988</v>
      </c>
      <c r="K125" s="10">
        <f t="shared" si="34"/>
        <v>89918.375679200733</v>
      </c>
      <c r="L125" s="11">
        <f t="shared" si="35"/>
        <v>-218.56610866614238</v>
      </c>
      <c r="M125" s="11"/>
      <c r="N125" s="11"/>
      <c r="O125" s="11"/>
      <c r="P125" s="11"/>
      <c r="Q125" s="12"/>
      <c r="R125" s="10"/>
      <c r="S125" s="13"/>
      <c r="T125" s="10"/>
      <c r="U125" s="10"/>
      <c r="AD125" t="str">
        <f t="shared" si="27"/>
        <v>11-3</v>
      </c>
      <c r="AE125" s="3">
        <f t="shared" si="28"/>
        <v>82458.546462536004</v>
      </c>
      <c r="AF125" s="3">
        <f t="shared" si="29"/>
        <v>111687.15419732596</v>
      </c>
    </row>
    <row r="126" spans="6:32" x14ac:dyDescent="0.25">
      <c r="F126" s="2">
        <f t="shared" si="36"/>
        <v>11</v>
      </c>
      <c r="G126" s="2">
        <f t="shared" si="37"/>
        <v>4</v>
      </c>
      <c r="H126" s="10">
        <f t="shared" si="25"/>
        <v>-887.35615656627056</v>
      </c>
      <c r="I126" s="11">
        <f t="shared" si="32"/>
        <v>-224.79593919800183</v>
      </c>
      <c r="J126" s="10">
        <f t="shared" si="33"/>
        <v>-662.5602173682687</v>
      </c>
      <c r="K126" s="10">
        <f t="shared" si="34"/>
        <v>89255.815461832462</v>
      </c>
      <c r="L126" s="11">
        <f t="shared" si="35"/>
        <v>-218.56610866614238</v>
      </c>
      <c r="M126" s="11"/>
      <c r="N126" s="11"/>
      <c r="O126" s="11"/>
      <c r="P126" s="11"/>
      <c r="Q126" s="12"/>
      <c r="R126" s="10"/>
      <c r="S126" s="13"/>
      <c r="T126" s="10"/>
      <c r="U126" s="10"/>
      <c r="AF126" s="3">
        <f t="shared" si="29"/>
        <v>111687.15419732596</v>
      </c>
    </row>
    <row r="127" spans="6:32" x14ac:dyDescent="0.25">
      <c r="F127" s="2">
        <f t="shared" si="36"/>
        <v>11</v>
      </c>
      <c r="G127" s="2">
        <f t="shared" si="37"/>
        <v>5</v>
      </c>
      <c r="H127" s="10">
        <f t="shared" si="25"/>
        <v>-887.35615656627056</v>
      </c>
      <c r="I127" s="11">
        <f t="shared" si="32"/>
        <v>-223.13953865458117</v>
      </c>
      <c r="J127" s="10">
        <f t="shared" si="33"/>
        <v>-664.21661791168935</v>
      </c>
      <c r="K127" s="10">
        <f t="shared" si="34"/>
        <v>88591.598843920772</v>
      </c>
      <c r="L127" s="11">
        <f t="shared" si="35"/>
        <v>-218.56610866614238</v>
      </c>
      <c r="M127" s="11"/>
      <c r="N127" s="11"/>
      <c r="O127" s="11"/>
      <c r="P127" s="11"/>
      <c r="Q127" s="12"/>
      <c r="R127" s="10"/>
      <c r="S127" s="13"/>
      <c r="T127" s="10"/>
      <c r="U127" s="10"/>
      <c r="AF127" s="3">
        <f t="shared" si="29"/>
        <v>111687.15419732596</v>
      </c>
    </row>
    <row r="128" spans="6:32" x14ac:dyDescent="0.25">
      <c r="F128" s="2">
        <f t="shared" si="36"/>
        <v>11</v>
      </c>
      <c r="G128" s="2">
        <f t="shared" si="37"/>
        <v>6</v>
      </c>
      <c r="H128" s="10">
        <f t="shared" si="25"/>
        <v>-887.35615656627056</v>
      </c>
      <c r="I128" s="11">
        <f t="shared" si="32"/>
        <v>-221.47899710980192</v>
      </c>
      <c r="J128" s="10">
        <f t="shared" si="33"/>
        <v>-665.87715945646869</v>
      </c>
      <c r="K128" s="10">
        <f t="shared" si="34"/>
        <v>87925.721684464297</v>
      </c>
      <c r="L128" s="11">
        <f t="shared" si="35"/>
        <v>-218.56610866614238</v>
      </c>
      <c r="M128" s="11"/>
      <c r="N128" s="11"/>
      <c r="O128" s="11"/>
      <c r="P128" s="11"/>
      <c r="Q128" s="12"/>
      <c r="R128" s="10"/>
      <c r="S128" s="13"/>
      <c r="T128" s="10"/>
      <c r="U128" s="10"/>
      <c r="AF128" s="3">
        <f t="shared" si="29"/>
        <v>111687.15419732596</v>
      </c>
    </row>
    <row r="129" spans="6:32" x14ac:dyDescent="0.25">
      <c r="F129" s="2">
        <f t="shared" si="36"/>
        <v>11</v>
      </c>
      <c r="G129" s="2">
        <f t="shared" si="37"/>
        <v>7</v>
      </c>
      <c r="H129" s="10">
        <f t="shared" si="25"/>
        <v>-887.35615656627056</v>
      </c>
      <c r="I129" s="11">
        <f t="shared" si="32"/>
        <v>-219.81430421116076</v>
      </c>
      <c r="J129" s="10">
        <f t="shared" si="33"/>
        <v>-667.54185235510977</v>
      </c>
      <c r="K129" s="10">
        <f t="shared" si="34"/>
        <v>87258.179832109192</v>
      </c>
      <c r="L129" s="11">
        <f t="shared" si="35"/>
        <v>-218.56610866614238</v>
      </c>
      <c r="M129" s="11"/>
      <c r="N129" s="11"/>
      <c r="O129" s="11"/>
      <c r="P129" s="11"/>
      <c r="Q129" s="12"/>
      <c r="R129" s="10"/>
      <c r="S129" s="13"/>
      <c r="T129" s="10"/>
      <c r="U129" s="10"/>
      <c r="AF129" s="3">
        <f t="shared" si="29"/>
        <v>111687.15419732596</v>
      </c>
    </row>
    <row r="130" spans="6:32" x14ac:dyDescent="0.25">
      <c r="F130" s="2">
        <f t="shared" si="36"/>
        <v>11</v>
      </c>
      <c r="G130" s="2">
        <f t="shared" si="37"/>
        <v>8</v>
      </c>
      <c r="H130" s="10">
        <f t="shared" si="25"/>
        <v>-887.35615656627056</v>
      </c>
      <c r="I130" s="11">
        <f t="shared" si="32"/>
        <v>-218.14544958027298</v>
      </c>
      <c r="J130" s="10">
        <f t="shared" si="33"/>
        <v>-669.2107069859976</v>
      </c>
      <c r="K130" s="10">
        <f t="shared" si="34"/>
        <v>86588.9691251232</v>
      </c>
      <c r="L130" s="11">
        <f t="shared" si="35"/>
        <v>-218.56610866614238</v>
      </c>
      <c r="M130" s="11"/>
      <c r="N130" s="11"/>
      <c r="O130" s="11"/>
      <c r="P130" s="11"/>
      <c r="Q130" s="12"/>
      <c r="R130" s="10"/>
      <c r="S130" s="13"/>
      <c r="T130" s="10"/>
      <c r="U130" s="10"/>
      <c r="AF130" s="3">
        <f t="shared" si="29"/>
        <v>111687.15419732596</v>
      </c>
    </row>
    <row r="131" spans="6:32" x14ac:dyDescent="0.25">
      <c r="F131" s="2">
        <f t="shared" si="36"/>
        <v>11</v>
      </c>
      <c r="G131" s="2">
        <f t="shared" si="37"/>
        <v>9</v>
      </c>
      <c r="H131" s="10">
        <f t="shared" ref="H131:H194" si="38">-$C$14</f>
        <v>-887.35615656627056</v>
      </c>
      <c r="I131" s="11">
        <f t="shared" si="32"/>
        <v>-216.47242281280799</v>
      </c>
      <c r="J131" s="10">
        <f t="shared" si="33"/>
        <v>-670.88373375346259</v>
      </c>
      <c r="K131" s="10">
        <f t="shared" si="34"/>
        <v>85918.085391369736</v>
      </c>
      <c r="L131" s="11">
        <f t="shared" si="35"/>
        <v>-218.56610866614238</v>
      </c>
      <c r="M131" s="11"/>
      <c r="N131" s="11"/>
      <c r="O131" s="11"/>
      <c r="P131" s="11"/>
      <c r="Q131" s="12"/>
      <c r="R131" s="10"/>
      <c r="S131" s="13"/>
      <c r="T131" s="10"/>
      <c r="U131" s="10"/>
      <c r="AF131" s="3">
        <f t="shared" si="29"/>
        <v>111687.15419732596</v>
      </c>
    </row>
    <row r="132" spans="6:32" x14ac:dyDescent="0.25">
      <c r="F132" s="2">
        <f t="shared" si="36"/>
        <v>11</v>
      </c>
      <c r="G132" s="2">
        <f t="shared" si="37"/>
        <v>10</v>
      </c>
      <c r="H132" s="10">
        <f t="shared" si="38"/>
        <v>-887.35615656627056</v>
      </c>
      <c r="I132" s="11">
        <f t="shared" si="32"/>
        <v>-214.79521347842433</v>
      </c>
      <c r="J132" s="10">
        <f t="shared" si="33"/>
        <v>-672.56094308784623</v>
      </c>
      <c r="K132" s="10">
        <f t="shared" si="34"/>
        <v>85245.524448281896</v>
      </c>
      <c r="L132" s="11">
        <f t="shared" si="35"/>
        <v>-218.56610866614238</v>
      </c>
      <c r="M132" s="11"/>
      <c r="N132" s="11"/>
      <c r="O132" s="11"/>
      <c r="P132" s="11"/>
      <c r="Q132" s="12"/>
      <c r="R132" s="10"/>
      <c r="S132" s="13"/>
      <c r="T132" s="10"/>
      <c r="U132" s="10"/>
      <c r="AF132" s="3">
        <f t="shared" si="29"/>
        <v>111687.15419732596</v>
      </c>
    </row>
    <row r="133" spans="6:32" x14ac:dyDescent="0.25">
      <c r="F133" s="2">
        <f t="shared" si="36"/>
        <v>11</v>
      </c>
      <c r="G133" s="2">
        <f t="shared" si="37"/>
        <v>11</v>
      </c>
      <c r="H133" s="10">
        <f t="shared" si="38"/>
        <v>-887.35615656627056</v>
      </c>
      <c r="I133" s="11">
        <f t="shared" si="32"/>
        <v>-213.11381112070475</v>
      </c>
      <c r="J133" s="10">
        <f t="shared" si="33"/>
        <v>-674.24234544556577</v>
      </c>
      <c r="K133" s="10">
        <f t="shared" si="34"/>
        <v>84571.282102836325</v>
      </c>
      <c r="L133" s="11">
        <f t="shared" si="35"/>
        <v>-218.56610866614238</v>
      </c>
      <c r="M133" s="11"/>
      <c r="AF133" s="3">
        <f t="shared" ref="AF133:AF147" si="39">AF132+P133</f>
        <v>111687.15419732596</v>
      </c>
    </row>
    <row r="134" spans="6:32" x14ac:dyDescent="0.25">
      <c r="F134" s="2">
        <f t="shared" si="36"/>
        <v>11</v>
      </c>
      <c r="G134" s="2">
        <f t="shared" si="37"/>
        <v>12</v>
      </c>
      <c r="H134" s="10">
        <f t="shared" si="38"/>
        <v>-887.35615656627056</v>
      </c>
      <c r="I134" s="11">
        <f t="shared" si="32"/>
        <v>-211.42820525709081</v>
      </c>
      <c r="J134" s="10">
        <f t="shared" si="33"/>
        <v>-675.92795130917978</v>
      </c>
      <c r="K134" s="10">
        <f t="shared" si="34"/>
        <v>83895.35415152715</v>
      </c>
      <c r="L134" s="11">
        <f t="shared" si="35"/>
        <v>-218.56610866614238</v>
      </c>
      <c r="M134" s="11"/>
      <c r="AF134" s="3">
        <f t="shared" si="39"/>
        <v>111687.15419732596</v>
      </c>
    </row>
    <row r="135" spans="6:32" x14ac:dyDescent="0.25">
      <c r="F135" s="2">
        <f t="shared" si="36"/>
        <v>12</v>
      </c>
      <c r="G135" s="2">
        <f t="shared" si="37"/>
        <v>1</v>
      </c>
      <c r="H135" s="10">
        <f t="shared" si="38"/>
        <v>-887.35615656627056</v>
      </c>
      <c r="I135" s="11">
        <f t="shared" si="32"/>
        <v>-209.73838537881787</v>
      </c>
      <c r="J135" s="10">
        <f t="shared" si="33"/>
        <v>-677.61777118745272</v>
      </c>
      <c r="K135" s="10">
        <f t="shared" si="34"/>
        <v>83217.736380339702</v>
      </c>
      <c r="L135" s="11">
        <f t="shared" si="35"/>
        <v>-221.00409750613187</v>
      </c>
      <c r="M135" s="11"/>
      <c r="AF135" s="3">
        <f t="shared" si="39"/>
        <v>111687.15419732596</v>
      </c>
    </row>
    <row r="136" spans="6:32" x14ac:dyDescent="0.25">
      <c r="F136" s="2">
        <f t="shared" si="36"/>
        <v>12</v>
      </c>
      <c r="G136" s="2">
        <f t="shared" si="37"/>
        <v>2</v>
      </c>
      <c r="H136" s="10">
        <f t="shared" si="38"/>
        <v>-887.35615656627056</v>
      </c>
      <c r="I136" s="11">
        <f t="shared" si="32"/>
        <v>-208.04434095084926</v>
      </c>
      <c r="J136" s="10">
        <f t="shared" si="33"/>
        <v>-679.31181561542132</v>
      </c>
      <c r="K136" s="10">
        <f t="shared" si="34"/>
        <v>82538.424564724279</v>
      </c>
      <c r="L136" s="11">
        <f t="shared" si="35"/>
        <v>-221.00409750613187</v>
      </c>
      <c r="M136" s="11"/>
      <c r="AF136" s="3">
        <f t="shared" si="39"/>
        <v>111687.15419732596</v>
      </c>
    </row>
    <row r="137" spans="6:32" x14ac:dyDescent="0.25">
      <c r="F137" s="2">
        <f t="shared" si="36"/>
        <v>12</v>
      </c>
      <c r="G137" s="2">
        <f t="shared" si="37"/>
        <v>3</v>
      </c>
      <c r="H137" s="10">
        <f t="shared" si="38"/>
        <v>-887.35615656627056</v>
      </c>
      <c r="I137" s="11">
        <f t="shared" si="32"/>
        <v>-206.34606141181069</v>
      </c>
      <c r="J137" s="10">
        <f t="shared" si="33"/>
        <v>-681.0100951544598</v>
      </c>
      <c r="K137" s="10">
        <f t="shared" si="34"/>
        <v>81857.41446956982</v>
      </c>
      <c r="L137" s="11">
        <f t="shared" si="35"/>
        <v>-221.00409750613187</v>
      </c>
      <c r="M137" s="11"/>
      <c r="AF137" s="3">
        <f t="shared" si="39"/>
        <v>111687.15419732596</v>
      </c>
    </row>
    <row r="138" spans="6:32" x14ac:dyDescent="0.25">
      <c r="F138" s="2">
        <f t="shared" si="36"/>
        <v>12</v>
      </c>
      <c r="G138" s="2">
        <f t="shared" si="37"/>
        <v>4</v>
      </c>
      <c r="H138" s="10">
        <f t="shared" si="38"/>
        <v>-887.35615656627056</v>
      </c>
      <c r="I138" s="11">
        <f t="shared" si="32"/>
        <v>-204.64353617392456</v>
      </c>
      <c r="J138" s="10">
        <f t="shared" si="33"/>
        <v>-682.71262039234603</v>
      </c>
      <c r="K138" s="10">
        <f t="shared" si="34"/>
        <v>81174.70184917748</v>
      </c>
      <c r="L138" s="11">
        <f t="shared" si="35"/>
        <v>-221.00409750613187</v>
      </c>
      <c r="M138" s="11"/>
      <c r="AF138" s="3">
        <f t="shared" si="39"/>
        <v>111687.15419732596</v>
      </c>
    </row>
    <row r="139" spans="6:32" x14ac:dyDescent="0.25">
      <c r="F139" s="2">
        <f t="shared" si="36"/>
        <v>12</v>
      </c>
      <c r="G139" s="2">
        <f t="shared" si="37"/>
        <v>5</v>
      </c>
      <c r="H139" s="10">
        <f t="shared" si="38"/>
        <v>-887.35615656627056</v>
      </c>
      <c r="I139" s="11">
        <f t="shared" si="32"/>
        <v>-202.93675462294371</v>
      </c>
      <c r="J139" s="10">
        <f t="shared" si="33"/>
        <v>-684.41940194332687</v>
      </c>
      <c r="K139" s="10">
        <f t="shared" si="34"/>
        <v>80490.28244723416</v>
      </c>
      <c r="L139" s="11">
        <f t="shared" si="35"/>
        <v>-221.00409750613187</v>
      </c>
      <c r="M139" s="11"/>
      <c r="AF139" s="3">
        <f t="shared" si="39"/>
        <v>111687.15419732596</v>
      </c>
    </row>
    <row r="140" spans="6:32" x14ac:dyDescent="0.25">
      <c r="F140" s="2">
        <f t="shared" si="36"/>
        <v>12</v>
      </c>
      <c r="G140" s="2">
        <f t="shared" si="37"/>
        <v>6</v>
      </c>
      <c r="H140" s="10">
        <f t="shared" si="38"/>
        <v>-887.35615656627056</v>
      </c>
      <c r="I140" s="11">
        <f t="shared" si="32"/>
        <v>-201.22570611808541</v>
      </c>
      <c r="J140" s="10">
        <f t="shared" si="33"/>
        <v>-686.13045044818512</v>
      </c>
      <c r="K140" s="10">
        <f t="shared" si="34"/>
        <v>79804.151996785979</v>
      </c>
      <c r="L140" s="11">
        <f t="shared" si="35"/>
        <v>-221.00409750613187</v>
      </c>
      <c r="M140" s="11"/>
      <c r="AF140" s="3">
        <f t="shared" si="39"/>
        <v>111687.15419732596</v>
      </c>
    </row>
    <row r="141" spans="6:32" x14ac:dyDescent="0.25">
      <c r="F141" s="2">
        <f t="shared" si="36"/>
        <v>12</v>
      </c>
      <c r="G141" s="2">
        <f t="shared" si="37"/>
        <v>7</v>
      </c>
      <c r="H141" s="10">
        <f t="shared" si="38"/>
        <v>-887.35615656627056</v>
      </c>
      <c r="I141" s="11">
        <f t="shared" si="32"/>
        <v>-199.51037999196495</v>
      </c>
      <c r="J141" s="10">
        <f t="shared" si="33"/>
        <v>-687.84577657430555</v>
      </c>
      <c r="K141" s="10">
        <f t="shared" si="34"/>
        <v>79116.306220211671</v>
      </c>
      <c r="L141" s="11">
        <f t="shared" si="35"/>
        <v>-221.00409750613187</v>
      </c>
      <c r="M141" s="11"/>
      <c r="AF141" s="3">
        <f t="shared" si="39"/>
        <v>111687.15419732596</v>
      </c>
    </row>
    <row r="142" spans="6:32" x14ac:dyDescent="0.25">
      <c r="F142" s="2">
        <f t="shared" si="36"/>
        <v>12</v>
      </c>
      <c r="G142" s="2">
        <f t="shared" si="37"/>
        <v>8</v>
      </c>
      <c r="H142" s="10">
        <f t="shared" si="38"/>
        <v>-887.35615656627056</v>
      </c>
      <c r="I142" s="11">
        <f t="shared" si="32"/>
        <v>-197.79076555052919</v>
      </c>
      <c r="J142" s="10">
        <f t="shared" si="33"/>
        <v>-689.5653910157414</v>
      </c>
      <c r="K142" s="10">
        <f t="shared" si="34"/>
        <v>78426.740829195929</v>
      </c>
      <c r="L142" s="11">
        <f t="shared" si="35"/>
        <v>-221.00409750613187</v>
      </c>
      <c r="M142" s="11"/>
      <c r="AF142" s="3">
        <f t="shared" si="39"/>
        <v>111687.15419732596</v>
      </c>
    </row>
    <row r="143" spans="6:32" x14ac:dyDescent="0.25">
      <c r="F143" s="2">
        <f t="shared" si="36"/>
        <v>12</v>
      </c>
      <c r="G143" s="2">
        <f t="shared" si="37"/>
        <v>9</v>
      </c>
      <c r="H143" s="10">
        <f t="shared" si="38"/>
        <v>-887.35615656627056</v>
      </c>
      <c r="I143" s="11">
        <f t="shared" si="32"/>
        <v>-196.06685207298983</v>
      </c>
      <c r="J143" s="10">
        <f t="shared" si="33"/>
        <v>-691.28930449328072</v>
      </c>
      <c r="K143" s="10">
        <f t="shared" si="34"/>
        <v>77735.451524702643</v>
      </c>
      <c r="L143" s="11">
        <f t="shared" si="35"/>
        <v>-221.00409750613187</v>
      </c>
      <c r="M143" s="11"/>
      <c r="AF143" s="3">
        <f t="shared" si="39"/>
        <v>111687.15419732596</v>
      </c>
    </row>
    <row r="144" spans="6:32" x14ac:dyDescent="0.25">
      <c r="F144" s="2">
        <f t="shared" si="36"/>
        <v>12</v>
      </c>
      <c r="G144" s="2">
        <f t="shared" si="37"/>
        <v>10</v>
      </c>
      <c r="H144" s="10">
        <f t="shared" si="38"/>
        <v>-887.35615656627056</v>
      </c>
      <c r="I144" s="11">
        <f t="shared" si="32"/>
        <v>-194.33862881175662</v>
      </c>
      <c r="J144" s="10">
        <f t="shared" si="33"/>
        <v>-693.01752775451394</v>
      </c>
      <c r="K144" s="10">
        <f t="shared" si="34"/>
        <v>77042.433996948123</v>
      </c>
      <c r="L144" s="11">
        <f t="shared" si="35"/>
        <v>-221.00409750613187</v>
      </c>
      <c r="M144" s="11"/>
      <c r="AF144" s="3">
        <f t="shared" si="39"/>
        <v>111687.15419732596</v>
      </c>
    </row>
    <row r="145" spans="6:32" x14ac:dyDescent="0.25">
      <c r="F145" s="2">
        <f t="shared" si="36"/>
        <v>12</v>
      </c>
      <c r="G145" s="2">
        <f t="shared" si="37"/>
        <v>11</v>
      </c>
      <c r="H145" s="10">
        <f t="shared" si="38"/>
        <v>-887.35615656627056</v>
      </c>
      <c r="I145" s="11">
        <f t="shared" si="32"/>
        <v>-192.60608499237031</v>
      </c>
      <c r="J145" s="10">
        <f t="shared" si="33"/>
        <v>-694.75007157390019</v>
      </c>
      <c r="K145" s="10">
        <f t="shared" si="34"/>
        <v>76347.683925374222</v>
      </c>
      <c r="L145" s="11">
        <f t="shared" si="35"/>
        <v>-221.00409750613187</v>
      </c>
      <c r="M145" s="11"/>
      <c r="AF145" s="3">
        <f t="shared" si="39"/>
        <v>111687.15419732596</v>
      </c>
    </row>
    <row r="146" spans="6:32" x14ac:dyDescent="0.25">
      <c r="F146" s="2">
        <f t="shared" si="36"/>
        <v>12</v>
      </c>
      <c r="G146" s="2">
        <f t="shared" si="37"/>
        <v>12</v>
      </c>
      <c r="H146" s="10">
        <f t="shared" si="38"/>
        <v>-887.35615656627056</v>
      </c>
      <c r="I146" s="11">
        <f t="shared" si="32"/>
        <v>-190.86920981343556</v>
      </c>
      <c r="J146" s="10">
        <f t="shared" si="33"/>
        <v>-696.48694675283502</v>
      </c>
      <c r="K146" s="10">
        <f t="shared" si="34"/>
        <v>75651.196978621389</v>
      </c>
      <c r="L146" s="11">
        <f t="shared" si="35"/>
        <v>-221.00409750613187</v>
      </c>
      <c r="M146" s="11"/>
      <c r="AF146" s="3">
        <f t="shared" si="39"/>
        <v>111687.15419732596</v>
      </c>
    </row>
    <row r="147" spans="6:32" x14ac:dyDescent="0.25">
      <c r="F147" s="2">
        <f t="shared" si="36"/>
        <v>13</v>
      </c>
      <c r="G147" s="2">
        <f t="shared" si="37"/>
        <v>1</v>
      </c>
      <c r="H147" s="10">
        <f t="shared" si="38"/>
        <v>-887.35615656627056</v>
      </c>
      <c r="I147" s="11">
        <f t="shared" si="32"/>
        <v>-189.12799244655346</v>
      </c>
      <c r="J147" s="10">
        <f t="shared" si="33"/>
        <v>-698.22816411971712</v>
      </c>
      <c r="K147" s="10">
        <f t="shared" si="34"/>
        <v>74952.96881450167</v>
      </c>
      <c r="L147" s="11">
        <f t="shared" si="35"/>
        <v>-223.4908461229212</v>
      </c>
      <c r="M147" s="11"/>
      <c r="AF147" s="3">
        <f t="shared" si="39"/>
        <v>111687.15419732596</v>
      </c>
    </row>
    <row r="148" spans="6:32" x14ac:dyDescent="0.25">
      <c r="F148" s="2">
        <f t="shared" si="36"/>
        <v>13</v>
      </c>
      <c r="G148" s="2">
        <f t="shared" si="37"/>
        <v>2</v>
      </c>
      <c r="H148" s="10">
        <f t="shared" si="38"/>
        <v>-887.35615656627056</v>
      </c>
      <c r="I148" s="11">
        <f t="shared" si="32"/>
        <v>-187.38242203625418</v>
      </c>
      <c r="J148" s="10">
        <f t="shared" si="33"/>
        <v>-699.97373453001637</v>
      </c>
      <c r="K148" s="10">
        <f t="shared" si="34"/>
        <v>74252.995079971646</v>
      </c>
      <c r="L148" s="11">
        <f t="shared" si="35"/>
        <v>-223.4908461229212</v>
      </c>
      <c r="M148" s="11"/>
    </row>
    <row r="149" spans="6:32" x14ac:dyDescent="0.25">
      <c r="F149" s="2">
        <f t="shared" si="36"/>
        <v>13</v>
      </c>
      <c r="G149" s="2">
        <f t="shared" si="37"/>
        <v>3</v>
      </c>
      <c r="H149" s="10">
        <f t="shared" si="38"/>
        <v>-887.35615656627056</v>
      </c>
      <c r="I149" s="11">
        <f t="shared" si="32"/>
        <v>-185.63248769992913</v>
      </c>
      <c r="J149" s="10">
        <f t="shared" si="33"/>
        <v>-701.72366886634143</v>
      </c>
      <c r="K149" s="10">
        <f t="shared" si="34"/>
        <v>73551.271411105306</v>
      </c>
      <c r="L149" s="11">
        <f t="shared" si="35"/>
        <v>-223.4908461229212</v>
      </c>
      <c r="M149" s="11"/>
    </row>
    <row r="150" spans="6:32" x14ac:dyDescent="0.25">
      <c r="F150" s="2">
        <f t="shared" si="36"/>
        <v>13</v>
      </c>
      <c r="G150" s="2">
        <f t="shared" si="37"/>
        <v>4</v>
      </c>
      <c r="H150" s="10">
        <f t="shared" si="38"/>
        <v>-887.35615656627056</v>
      </c>
      <c r="I150" s="11">
        <f t="shared" si="32"/>
        <v>-183.87817852776328</v>
      </c>
      <c r="J150" s="10">
        <f t="shared" si="33"/>
        <v>-703.47797803850722</v>
      </c>
      <c r="K150" s="10">
        <f t="shared" si="34"/>
        <v>72847.793433066792</v>
      </c>
      <c r="L150" s="11">
        <f t="shared" si="35"/>
        <v>-223.4908461229212</v>
      </c>
      <c r="M150" s="11"/>
    </row>
    <row r="151" spans="6:32" x14ac:dyDescent="0.25">
      <c r="F151" s="2">
        <f t="shared" si="36"/>
        <v>13</v>
      </c>
      <c r="G151" s="2">
        <f t="shared" si="37"/>
        <v>5</v>
      </c>
      <c r="H151" s="10">
        <f t="shared" si="38"/>
        <v>-887.35615656627056</v>
      </c>
      <c r="I151" s="11">
        <f t="shared" si="32"/>
        <v>-182.11948358266699</v>
      </c>
      <c r="J151" s="10">
        <f t="shared" si="33"/>
        <v>-705.23667298360351</v>
      </c>
      <c r="K151" s="10">
        <f t="shared" si="34"/>
        <v>72142.556760083186</v>
      </c>
      <c r="L151" s="11">
        <f t="shared" si="35"/>
        <v>-223.4908461229212</v>
      </c>
      <c r="M151" s="11"/>
    </row>
    <row r="152" spans="6:32" x14ac:dyDescent="0.25">
      <c r="F152" s="2">
        <f t="shared" si="36"/>
        <v>13</v>
      </c>
      <c r="G152" s="2">
        <f t="shared" si="37"/>
        <v>6</v>
      </c>
      <c r="H152" s="10">
        <f t="shared" si="38"/>
        <v>-887.35615656627056</v>
      </c>
      <c r="I152" s="11">
        <f t="shared" si="32"/>
        <v>-180.35639190020797</v>
      </c>
      <c r="J152" s="10">
        <f t="shared" si="33"/>
        <v>-706.99976466606256</v>
      </c>
      <c r="K152" s="10">
        <f t="shared" si="34"/>
        <v>71435.556995417122</v>
      </c>
      <c r="L152" s="11">
        <f t="shared" si="35"/>
        <v>-223.4908461229212</v>
      </c>
      <c r="M152" s="11"/>
    </row>
    <row r="153" spans="6:32" x14ac:dyDescent="0.25">
      <c r="F153" s="2">
        <f t="shared" si="36"/>
        <v>13</v>
      </c>
      <c r="G153" s="2">
        <f t="shared" si="37"/>
        <v>7</v>
      </c>
      <c r="H153" s="10">
        <f t="shared" si="38"/>
        <v>-887.35615656627056</v>
      </c>
      <c r="I153" s="11">
        <f t="shared" si="32"/>
        <v>-178.5888924885428</v>
      </c>
      <c r="J153" s="10">
        <f t="shared" si="33"/>
        <v>-708.76726407772776</v>
      </c>
      <c r="K153" s="10">
        <f t="shared" si="34"/>
        <v>70726.789731339391</v>
      </c>
      <c r="L153" s="11">
        <f t="shared" si="35"/>
        <v>-223.4908461229212</v>
      </c>
      <c r="M153" s="11"/>
    </row>
    <row r="154" spans="6:32" x14ac:dyDescent="0.25">
      <c r="F154" s="2">
        <f t="shared" si="36"/>
        <v>13</v>
      </c>
      <c r="G154" s="2">
        <f t="shared" si="37"/>
        <v>8</v>
      </c>
      <c r="H154" s="10">
        <f t="shared" si="38"/>
        <v>-887.35615656627056</v>
      </c>
      <c r="I154" s="11">
        <f t="shared" si="32"/>
        <v>-176.81697432834849</v>
      </c>
      <c r="J154" s="10">
        <f t="shared" si="33"/>
        <v>-710.53918223792209</v>
      </c>
      <c r="K154" s="10">
        <f t="shared" si="34"/>
        <v>70016.250549101474</v>
      </c>
      <c r="L154" s="11">
        <f t="shared" si="35"/>
        <v>-223.4908461229212</v>
      </c>
      <c r="M154" s="11"/>
    </row>
    <row r="155" spans="6:32" x14ac:dyDescent="0.25">
      <c r="F155" s="2">
        <f t="shared" si="36"/>
        <v>13</v>
      </c>
      <c r="G155" s="2">
        <f t="shared" si="37"/>
        <v>9</v>
      </c>
      <c r="H155" s="10">
        <f t="shared" si="38"/>
        <v>-887.35615656627056</v>
      </c>
      <c r="I155" s="11">
        <f t="shared" si="32"/>
        <v>-175.04062637275368</v>
      </c>
      <c r="J155" s="10">
        <f t="shared" si="33"/>
        <v>-712.31553019351691</v>
      </c>
      <c r="K155" s="10">
        <f t="shared" si="34"/>
        <v>69303.935018907956</v>
      </c>
      <c r="L155" s="11">
        <f t="shared" si="35"/>
        <v>-223.4908461229212</v>
      </c>
      <c r="M155" s="11"/>
    </row>
    <row r="156" spans="6:32" x14ac:dyDescent="0.25">
      <c r="F156" s="2">
        <f t="shared" si="36"/>
        <v>13</v>
      </c>
      <c r="G156" s="2">
        <f t="shared" si="37"/>
        <v>10</v>
      </c>
      <c r="H156" s="10">
        <f t="shared" si="38"/>
        <v>-887.35615656627056</v>
      </c>
      <c r="I156" s="11">
        <f t="shared" si="32"/>
        <v>-173.25983754726988</v>
      </c>
      <c r="J156" s="10">
        <f t="shared" si="33"/>
        <v>-714.0963190190007</v>
      </c>
      <c r="K156" s="10">
        <f t="shared" si="34"/>
        <v>68589.838699888962</v>
      </c>
      <c r="L156" s="11">
        <f t="shared" si="35"/>
        <v>-223.4908461229212</v>
      </c>
      <c r="M156" s="11"/>
    </row>
    <row r="157" spans="6:32" x14ac:dyDescent="0.25">
      <c r="F157" s="2">
        <f t="shared" si="36"/>
        <v>13</v>
      </c>
      <c r="G157" s="2">
        <f t="shared" si="37"/>
        <v>11</v>
      </c>
      <c r="H157" s="10">
        <f t="shared" si="38"/>
        <v>-887.35615656627056</v>
      </c>
      <c r="I157" s="11">
        <f t="shared" si="32"/>
        <v>-171.47459674972239</v>
      </c>
      <c r="J157" s="10">
        <f t="shared" si="33"/>
        <v>-715.88155981654813</v>
      </c>
      <c r="K157" s="10">
        <f t="shared" si="34"/>
        <v>67873.957140072409</v>
      </c>
      <c r="L157" s="11">
        <f t="shared" si="35"/>
        <v>-223.4908461229212</v>
      </c>
      <c r="M157" s="11"/>
    </row>
    <row r="158" spans="6:32" x14ac:dyDescent="0.25">
      <c r="F158" s="2">
        <f t="shared" si="36"/>
        <v>13</v>
      </c>
      <c r="G158" s="2">
        <f t="shared" si="37"/>
        <v>12</v>
      </c>
      <c r="H158" s="10">
        <f t="shared" si="38"/>
        <v>-887.35615656627056</v>
      </c>
      <c r="I158" s="11">
        <f t="shared" si="32"/>
        <v>-169.68489285018103</v>
      </c>
      <c r="J158" s="10">
        <f t="shared" si="33"/>
        <v>-717.67126371608947</v>
      </c>
      <c r="K158" s="10">
        <f t="shared" si="34"/>
        <v>67156.285876356313</v>
      </c>
      <c r="L158" s="11">
        <f t="shared" si="35"/>
        <v>-223.4908461229212</v>
      </c>
      <c r="M158" s="11"/>
    </row>
    <row r="159" spans="6:32" x14ac:dyDescent="0.25">
      <c r="F159" s="2">
        <f t="shared" si="36"/>
        <v>14</v>
      </c>
      <c r="G159" s="2">
        <f t="shared" si="37"/>
        <v>1</v>
      </c>
      <c r="H159" s="10">
        <f t="shared" si="38"/>
        <v>-887.35615656627056</v>
      </c>
      <c r="I159" s="11">
        <f t="shared" si="32"/>
        <v>-167.89071469089077</v>
      </c>
      <c r="J159" s="10">
        <f t="shared" si="33"/>
        <v>-719.46544187537984</v>
      </c>
      <c r="K159" s="10">
        <f t="shared" si="34"/>
        <v>66436.820434480935</v>
      </c>
      <c r="L159" s="11">
        <f t="shared" si="35"/>
        <v>-226.02732971204625</v>
      </c>
      <c r="M159" s="11"/>
    </row>
    <row r="160" spans="6:32" x14ac:dyDescent="0.25">
      <c r="F160" s="2">
        <f t="shared" si="36"/>
        <v>14</v>
      </c>
      <c r="G160" s="2">
        <f t="shared" si="37"/>
        <v>2</v>
      </c>
      <c r="H160" s="10">
        <f t="shared" si="38"/>
        <v>-887.35615656627056</v>
      </c>
      <c r="I160" s="11">
        <f t="shared" si="32"/>
        <v>-166.09205108620233</v>
      </c>
      <c r="J160" s="10">
        <f t="shared" si="33"/>
        <v>-721.26410548006822</v>
      </c>
      <c r="K160" s="10">
        <f t="shared" si="34"/>
        <v>65715.556329000872</v>
      </c>
      <c r="L160" s="11">
        <f t="shared" si="35"/>
        <v>-226.02732971204625</v>
      </c>
      <c r="M160" s="11"/>
    </row>
    <row r="161" spans="6:13" x14ac:dyDescent="0.25">
      <c r="F161" s="2">
        <f t="shared" si="36"/>
        <v>14</v>
      </c>
      <c r="G161" s="2">
        <f t="shared" si="37"/>
        <v>3</v>
      </c>
      <c r="H161" s="10">
        <f t="shared" si="38"/>
        <v>-887.35615656627056</v>
      </c>
      <c r="I161" s="11">
        <f t="shared" si="32"/>
        <v>-164.2888908225022</v>
      </c>
      <c r="J161" s="10">
        <f t="shared" si="33"/>
        <v>-723.0672657437683</v>
      </c>
      <c r="K161" s="10">
        <f t="shared" si="34"/>
        <v>64992.489063257104</v>
      </c>
      <c r="L161" s="11">
        <f t="shared" si="35"/>
        <v>-226.02732971204625</v>
      </c>
      <c r="M161" s="11"/>
    </row>
    <row r="162" spans="6:13" x14ac:dyDescent="0.25">
      <c r="F162" s="2">
        <f t="shared" si="36"/>
        <v>14</v>
      </c>
      <c r="G162" s="2">
        <f t="shared" si="37"/>
        <v>4</v>
      </c>
      <c r="H162" s="10">
        <f t="shared" si="38"/>
        <v>-887.35615656627056</v>
      </c>
      <c r="I162" s="11">
        <f t="shared" si="32"/>
        <v>-162.48122265814277</v>
      </c>
      <c r="J162" s="10">
        <f t="shared" si="33"/>
        <v>-724.87493390812779</v>
      </c>
      <c r="K162" s="10">
        <f t="shared" si="34"/>
        <v>64267.614129348978</v>
      </c>
      <c r="L162" s="11">
        <f t="shared" si="35"/>
        <v>-226.02732971204625</v>
      </c>
      <c r="M162" s="11"/>
    </row>
    <row r="163" spans="6:13" x14ac:dyDescent="0.25">
      <c r="F163" s="2">
        <f t="shared" si="36"/>
        <v>14</v>
      </c>
      <c r="G163" s="2">
        <f t="shared" si="37"/>
        <v>5</v>
      </c>
      <c r="H163" s="10">
        <f t="shared" si="38"/>
        <v>-887.35615656627056</v>
      </c>
      <c r="I163" s="11">
        <f t="shared" si="32"/>
        <v>-160.66903532337244</v>
      </c>
      <c r="J163" s="10">
        <f t="shared" si="33"/>
        <v>-726.68712124289812</v>
      </c>
      <c r="K163" s="10">
        <f t="shared" si="34"/>
        <v>63540.927008106082</v>
      </c>
      <c r="L163" s="11">
        <f t="shared" si="35"/>
        <v>-226.02732971204625</v>
      </c>
      <c r="M163" s="11"/>
    </row>
    <row r="164" spans="6:13" x14ac:dyDescent="0.25">
      <c r="F164" s="2">
        <f t="shared" si="36"/>
        <v>14</v>
      </c>
      <c r="G164" s="2">
        <f t="shared" si="37"/>
        <v>6</v>
      </c>
      <c r="H164" s="10">
        <f t="shared" si="38"/>
        <v>-887.35615656627056</v>
      </c>
      <c r="I164" s="11">
        <f t="shared" si="32"/>
        <v>-158.85231752026522</v>
      </c>
      <c r="J164" s="10">
        <f t="shared" si="33"/>
        <v>-728.5038390460054</v>
      </c>
      <c r="K164" s="10">
        <f t="shared" si="34"/>
        <v>62812.423169060079</v>
      </c>
      <c r="L164" s="11">
        <f t="shared" si="35"/>
        <v>-226.02732971204625</v>
      </c>
      <c r="M164" s="11"/>
    </row>
    <row r="165" spans="6:13" x14ac:dyDescent="0.25">
      <c r="F165" s="2">
        <f t="shared" si="36"/>
        <v>14</v>
      </c>
      <c r="G165" s="2">
        <f t="shared" si="37"/>
        <v>7</v>
      </c>
      <c r="H165" s="10">
        <f t="shared" si="38"/>
        <v>-887.35615656627056</v>
      </c>
      <c r="I165" s="11">
        <f t="shared" si="32"/>
        <v>-157.03105792265021</v>
      </c>
      <c r="J165" s="10">
        <f t="shared" si="33"/>
        <v>-730.32509864362032</v>
      </c>
      <c r="K165" s="10">
        <f t="shared" si="34"/>
        <v>62082.098070416461</v>
      </c>
      <c r="L165" s="11">
        <f t="shared" si="35"/>
        <v>-226.02732971204625</v>
      </c>
      <c r="M165" s="11"/>
    </row>
    <row r="166" spans="6:13" x14ac:dyDescent="0.25">
      <c r="F166" s="2">
        <f t="shared" si="36"/>
        <v>14</v>
      </c>
      <c r="G166" s="2">
        <f t="shared" si="37"/>
        <v>8</v>
      </c>
      <c r="H166" s="10">
        <f t="shared" si="38"/>
        <v>-887.35615656627056</v>
      </c>
      <c r="I166" s="11">
        <f t="shared" si="32"/>
        <v>-155.20524517604116</v>
      </c>
      <c r="J166" s="10">
        <f t="shared" si="33"/>
        <v>-732.15091139022934</v>
      </c>
      <c r="K166" s="10">
        <f t="shared" si="34"/>
        <v>61349.947159026233</v>
      </c>
      <c r="L166" s="11">
        <f t="shared" si="35"/>
        <v>-226.02732971204625</v>
      </c>
      <c r="M166" s="11"/>
    </row>
    <row r="167" spans="6:13" x14ac:dyDescent="0.25">
      <c r="F167" s="2">
        <f t="shared" si="36"/>
        <v>14</v>
      </c>
      <c r="G167" s="2">
        <f t="shared" si="37"/>
        <v>9</v>
      </c>
      <c r="H167" s="10">
        <f t="shared" si="38"/>
        <v>-887.35615656627056</v>
      </c>
      <c r="I167" s="11">
        <f t="shared" si="32"/>
        <v>-153.37486789756559</v>
      </c>
      <c r="J167" s="10">
        <f t="shared" si="33"/>
        <v>-733.98128866870502</v>
      </c>
      <c r="K167" s="10">
        <f t="shared" si="34"/>
        <v>60615.965870357526</v>
      </c>
      <c r="L167" s="11">
        <f t="shared" si="35"/>
        <v>-226.02732971204625</v>
      </c>
      <c r="M167" s="11"/>
    </row>
    <row r="168" spans="6:13" x14ac:dyDescent="0.25">
      <c r="F168" s="2">
        <f t="shared" si="36"/>
        <v>14</v>
      </c>
      <c r="G168" s="2">
        <f t="shared" si="37"/>
        <v>10</v>
      </c>
      <c r="H168" s="10">
        <f t="shared" si="38"/>
        <v>-887.35615656627056</v>
      </c>
      <c r="I168" s="11">
        <f t="shared" si="32"/>
        <v>-151.53991467589381</v>
      </c>
      <c r="J168" s="10">
        <f t="shared" si="33"/>
        <v>-735.81624189037677</v>
      </c>
      <c r="K168" s="10">
        <f t="shared" si="34"/>
        <v>59880.149628467152</v>
      </c>
      <c r="L168" s="11">
        <f t="shared" si="35"/>
        <v>-226.02732971204625</v>
      </c>
      <c r="M168" s="11"/>
    </row>
    <row r="169" spans="6:13" x14ac:dyDescent="0.25">
      <c r="F169" s="2">
        <f t="shared" si="36"/>
        <v>14</v>
      </c>
      <c r="G169" s="2">
        <f t="shared" si="37"/>
        <v>11</v>
      </c>
      <c r="H169" s="10">
        <f t="shared" si="38"/>
        <v>-887.35615656627056</v>
      </c>
      <c r="I169" s="11">
        <f t="shared" si="32"/>
        <v>-149.70037407116789</v>
      </c>
      <c r="J169" s="10">
        <f t="shared" si="33"/>
        <v>-737.6557824951027</v>
      </c>
      <c r="K169" s="10">
        <f t="shared" si="34"/>
        <v>59142.493845972051</v>
      </c>
      <c r="L169" s="11">
        <f t="shared" si="35"/>
        <v>-226.02732971204625</v>
      </c>
      <c r="M169" s="11"/>
    </row>
    <row r="170" spans="6:13" x14ac:dyDescent="0.25">
      <c r="F170" s="2">
        <f t="shared" si="36"/>
        <v>14</v>
      </c>
      <c r="G170" s="2">
        <f t="shared" si="37"/>
        <v>12</v>
      </c>
      <c r="H170" s="10">
        <f t="shared" si="38"/>
        <v>-887.35615656627056</v>
      </c>
      <c r="I170" s="11">
        <f t="shared" si="32"/>
        <v>-147.85623461493012</v>
      </c>
      <c r="J170" s="10">
        <f t="shared" si="33"/>
        <v>-739.49992195134041</v>
      </c>
      <c r="K170" s="10">
        <f t="shared" si="34"/>
        <v>58402.99392402071</v>
      </c>
      <c r="L170" s="11">
        <f t="shared" si="35"/>
        <v>-226.02732971204625</v>
      </c>
      <c r="M170" s="11"/>
    </row>
    <row r="171" spans="6:13" x14ac:dyDescent="0.25">
      <c r="F171" s="2">
        <f t="shared" si="36"/>
        <v>15</v>
      </c>
      <c r="G171" s="2">
        <f t="shared" si="37"/>
        <v>1</v>
      </c>
      <c r="H171" s="10">
        <f t="shared" si="38"/>
        <v>-887.35615656627056</v>
      </c>
      <c r="I171" s="11">
        <f t="shared" si="32"/>
        <v>-146.00748481005178</v>
      </c>
      <c r="J171" s="10">
        <f t="shared" si="33"/>
        <v>-741.34867175621878</v>
      </c>
      <c r="K171" s="10">
        <f t="shared" si="34"/>
        <v>57661.64525226449</v>
      </c>
      <c r="L171" s="11">
        <f t="shared" si="35"/>
        <v>-228.61454297295387</v>
      </c>
      <c r="M171" s="11"/>
    </row>
    <row r="172" spans="6:13" x14ac:dyDescent="0.25">
      <c r="F172" s="2">
        <f t="shared" si="36"/>
        <v>15</v>
      </c>
      <c r="G172" s="2">
        <f t="shared" si="37"/>
        <v>2</v>
      </c>
      <c r="H172" s="10">
        <f t="shared" si="38"/>
        <v>-887.35615656627056</v>
      </c>
      <c r="I172" s="11">
        <f t="shared" si="32"/>
        <v>-144.15411313066122</v>
      </c>
      <c r="J172" s="10">
        <f t="shared" si="33"/>
        <v>-743.20204343560931</v>
      </c>
      <c r="K172" s="10">
        <f t="shared" si="34"/>
        <v>56918.443208828881</v>
      </c>
      <c r="L172" s="11">
        <f t="shared" si="35"/>
        <v>-228.61454297295387</v>
      </c>
      <c r="M172" s="11"/>
    </row>
    <row r="173" spans="6:13" x14ac:dyDescent="0.25">
      <c r="F173" s="2">
        <f t="shared" si="36"/>
        <v>15</v>
      </c>
      <c r="G173" s="2">
        <f t="shared" si="37"/>
        <v>3</v>
      </c>
      <c r="H173" s="10">
        <f t="shared" si="38"/>
        <v>-887.35615656627056</v>
      </c>
      <c r="I173" s="11">
        <f t="shared" si="32"/>
        <v>-142.29610802207222</v>
      </c>
      <c r="J173" s="10">
        <f t="shared" si="33"/>
        <v>-745.06004854419837</v>
      </c>
      <c r="K173" s="10">
        <f t="shared" si="34"/>
        <v>56173.383160284684</v>
      </c>
      <c r="L173" s="11">
        <f t="shared" si="35"/>
        <v>-228.61454297295387</v>
      </c>
      <c r="M173" s="11"/>
    </row>
    <row r="174" spans="6:13" x14ac:dyDescent="0.25">
      <c r="F174" s="2">
        <f t="shared" si="36"/>
        <v>15</v>
      </c>
      <c r="G174" s="2">
        <f t="shared" si="37"/>
        <v>4</v>
      </c>
      <c r="H174" s="10">
        <f t="shared" si="38"/>
        <v>-887.35615656627056</v>
      </c>
      <c r="I174" s="11">
        <f t="shared" si="32"/>
        <v>-140.43345790071172</v>
      </c>
      <c r="J174" s="10">
        <f t="shared" si="33"/>
        <v>-746.92269866555887</v>
      </c>
      <c r="K174" s="10">
        <f t="shared" si="34"/>
        <v>55426.460461619128</v>
      </c>
      <c r="L174" s="11">
        <f t="shared" si="35"/>
        <v>-228.61454297295387</v>
      </c>
      <c r="M174" s="11"/>
    </row>
    <row r="175" spans="6:13" x14ac:dyDescent="0.25">
      <c r="F175" s="2">
        <f t="shared" si="36"/>
        <v>15</v>
      </c>
      <c r="G175" s="2">
        <f t="shared" si="37"/>
        <v>5</v>
      </c>
      <c r="H175" s="10">
        <f t="shared" si="38"/>
        <v>-887.35615656627056</v>
      </c>
      <c r="I175" s="11">
        <f t="shared" si="32"/>
        <v>-138.56615115404782</v>
      </c>
      <c r="J175" s="10">
        <f t="shared" si="33"/>
        <v>-748.79000541222274</v>
      </c>
      <c r="K175" s="10">
        <f t="shared" si="34"/>
        <v>54677.670456206906</v>
      </c>
      <c r="L175" s="11">
        <f t="shared" si="35"/>
        <v>-228.61454297295387</v>
      </c>
      <c r="M175" s="11"/>
    </row>
    <row r="176" spans="6:13" x14ac:dyDescent="0.25">
      <c r="F176" s="2">
        <f t="shared" si="36"/>
        <v>15</v>
      </c>
      <c r="G176" s="2">
        <f t="shared" si="37"/>
        <v>6</v>
      </c>
      <c r="H176" s="10">
        <f t="shared" si="38"/>
        <v>-887.35615656627056</v>
      </c>
      <c r="I176" s="11">
        <f t="shared" si="32"/>
        <v>-136.69417614051727</v>
      </c>
      <c r="J176" s="10">
        <f t="shared" si="33"/>
        <v>-750.66198042575331</v>
      </c>
      <c r="K176" s="10">
        <f t="shared" si="34"/>
        <v>53927.008475781156</v>
      </c>
      <c r="L176" s="11">
        <f t="shared" si="35"/>
        <v>-228.61454297295387</v>
      </c>
      <c r="M176" s="11"/>
    </row>
    <row r="177" spans="6:13" x14ac:dyDescent="0.25">
      <c r="F177" s="2">
        <f t="shared" si="36"/>
        <v>15</v>
      </c>
      <c r="G177" s="2">
        <f t="shared" si="37"/>
        <v>7</v>
      </c>
      <c r="H177" s="10">
        <f t="shared" si="38"/>
        <v>-887.35615656627056</v>
      </c>
      <c r="I177" s="11">
        <f t="shared" si="32"/>
        <v>-134.81752118945289</v>
      </c>
      <c r="J177" s="10">
        <f t="shared" si="33"/>
        <v>-752.53863537681764</v>
      </c>
      <c r="K177" s="10">
        <f t="shared" si="34"/>
        <v>53174.469840404337</v>
      </c>
      <c r="L177" s="11">
        <f t="shared" si="35"/>
        <v>-228.61454297295387</v>
      </c>
      <c r="M177" s="11"/>
    </row>
    <row r="178" spans="6:13" x14ac:dyDescent="0.25">
      <c r="F178" s="2">
        <f t="shared" si="36"/>
        <v>15</v>
      </c>
      <c r="G178" s="2">
        <f t="shared" si="37"/>
        <v>8</v>
      </c>
      <c r="H178" s="10">
        <f t="shared" si="38"/>
        <v>-887.35615656627056</v>
      </c>
      <c r="I178" s="11">
        <f t="shared" si="32"/>
        <v>-132.93617460101083</v>
      </c>
      <c r="J178" s="10">
        <f t="shared" si="33"/>
        <v>-754.41998196525969</v>
      </c>
      <c r="K178" s="10">
        <f t="shared" si="34"/>
        <v>52420.049858439081</v>
      </c>
      <c r="L178" s="11">
        <f t="shared" si="35"/>
        <v>-228.61454297295387</v>
      </c>
      <c r="M178" s="11"/>
    </row>
    <row r="179" spans="6:13" x14ac:dyDescent="0.25">
      <c r="F179" s="2">
        <f t="shared" si="36"/>
        <v>15</v>
      </c>
      <c r="G179" s="2">
        <f t="shared" si="37"/>
        <v>9</v>
      </c>
      <c r="H179" s="10">
        <f t="shared" si="38"/>
        <v>-887.35615656627056</v>
      </c>
      <c r="I179" s="11">
        <f t="shared" si="32"/>
        <v>-131.05012464609771</v>
      </c>
      <c r="J179" s="10">
        <f t="shared" si="33"/>
        <v>-756.30603192017281</v>
      </c>
      <c r="K179" s="10">
        <f t="shared" si="34"/>
        <v>51663.743826518905</v>
      </c>
      <c r="L179" s="11">
        <f t="shared" si="35"/>
        <v>-228.61454297295387</v>
      </c>
      <c r="M179" s="11"/>
    </row>
    <row r="180" spans="6:13" x14ac:dyDescent="0.25">
      <c r="F180" s="2">
        <f t="shared" si="36"/>
        <v>15</v>
      </c>
      <c r="G180" s="2">
        <f t="shared" si="37"/>
        <v>10</v>
      </c>
      <c r="H180" s="10">
        <f t="shared" si="38"/>
        <v>-887.35615656627056</v>
      </c>
      <c r="I180" s="11">
        <f t="shared" si="32"/>
        <v>-129.15935956629727</v>
      </c>
      <c r="J180" s="10">
        <f t="shared" si="33"/>
        <v>-758.19679699997323</v>
      </c>
      <c r="K180" s="10">
        <f t="shared" si="34"/>
        <v>50905.54702951893</v>
      </c>
      <c r="L180" s="11">
        <f t="shared" si="35"/>
        <v>-228.61454297295387</v>
      </c>
      <c r="M180" s="11"/>
    </row>
    <row r="181" spans="6:13" x14ac:dyDescent="0.25">
      <c r="F181" s="2">
        <f t="shared" si="36"/>
        <v>15</v>
      </c>
      <c r="G181" s="2">
        <f t="shared" si="37"/>
        <v>11</v>
      </c>
      <c r="H181" s="10">
        <f t="shared" si="38"/>
        <v>-887.35615656627056</v>
      </c>
      <c r="I181" s="11">
        <f t="shared" si="32"/>
        <v>-127.26386757379733</v>
      </c>
      <c r="J181" s="10">
        <f t="shared" si="33"/>
        <v>-760.09228899247319</v>
      </c>
      <c r="K181" s="10">
        <f t="shared" si="34"/>
        <v>50145.45474052646</v>
      </c>
      <c r="L181" s="11">
        <f t="shared" si="35"/>
        <v>-228.61454297295387</v>
      </c>
      <c r="M181" s="11"/>
    </row>
    <row r="182" spans="6:13" x14ac:dyDescent="0.25">
      <c r="F182" s="2">
        <f t="shared" si="36"/>
        <v>15</v>
      </c>
      <c r="G182" s="2">
        <f t="shared" si="37"/>
        <v>12</v>
      </c>
      <c r="H182" s="10">
        <f t="shared" si="38"/>
        <v>-887.35615656627056</v>
      </c>
      <c r="I182" s="11">
        <f t="shared" si="32"/>
        <v>-125.36363685131616</v>
      </c>
      <c r="J182" s="10">
        <f t="shared" si="33"/>
        <v>-761.99251971495437</v>
      </c>
      <c r="K182" s="10">
        <f t="shared" si="34"/>
        <v>49383.462220811503</v>
      </c>
      <c r="L182" s="11">
        <f t="shared" si="35"/>
        <v>-228.61454297295387</v>
      </c>
      <c r="M182" s="11"/>
    </row>
    <row r="183" spans="6:13" x14ac:dyDescent="0.25">
      <c r="F183" s="2">
        <f t="shared" si="36"/>
        <v>16</v>
      </c>
      <c r="G183" s="2">
        <f t="shared" si="37"/>
        <v>1</v>
      </c>
      <c r="H183" s="10">
        <f t="shared" si="38"/>
        <v>-887.35615656627056</v>
      </c>
      <c r="I183" s="11">
        <f t="shared" si="32"/>
        <v>-123.45865555202876</v>
      </c>
      <c r="J183" s="10">
        <f t="shared" si="33"/>
        <v>-763.89750101424181</v>
      </c>
      <c r="K183" s="10">
        <f t="shared" si="34"/>
        <v>48619.564719797265</v>
      </c>
      <c r="L183" s="11">
        <f t="shared" si="35"/>
        <v>-231.25350049907959</v>
      </c>
      <c r="M183" s="11"/>
    </row>
    <row r="184" spans="6:13" x14ac:dyDescent="0.25">
      <c r="F184" s="2">
        <f t="shared" si="36"/>
        <v>16</v>
      </c>
      <c r="G184" s="2">
        <f t="shared" si="37"/>
        <v>2</v>
      </c>
      <c r="H184" s="10">
        <f t="shared" si="38"/>
        <v>-887.35615656627056</v>
      </c>
      <c r="I184" s="11">
        <f t="shared" si="32"/>
        <v>-121.54891179949317</v>
      </c>
      <c r="J184" s="10">
        <f t="shared" si="33"/>
        <v>-765.80724476677733</v>
      </c>
      <c r="K184" s="10">
        <f t="shared" si="34"/>
        <v>47853.757475030485</v>
      </c>
      <c r="L184" s="11">
        <f t="shared" si="35"/>
        <v>-231.25350049907959</v>
      </c>
      <c r="M184" s="11"/>
    </row>
    <row r="185" spans="6:13" x14ac:dyDescent="0.25">
      <c r="F185" s="2">
        <f t="shared" si="36"/>
        <v>16</v>
      </c>
      <c r="G185" s="2">
        <f t="shared" si="37"/>
        <v>3</v>
      </c>
      <c r="H185" s="10">
        <f t="shared" si="38"/>
        <v>-887.35615656627056</v>
      </c>
      <c r="I185" s="11">
        <f t="shared" si="32"/>
        <v>-119.63439368757622</v>
      </c>
      <c r="J185" s="10">
        <f t="shared" si="33"/>
        <v>-767.72176287869434</v>
      </c>
      <c r="K185" s="10">
        <f t="shared" si="34"/>
        <v>47086.035712151788</v>
      </c>
      <c r="L185" s="11">
        <f t="shared" si="35"/>
        <v>-231.25350049907959</v>
      </c>
      <c r="M185" s="11"/>
    </row>
    <row r="186" spans="6:13" x14ac:dyDescent="0.25">
      <c r="F186" s="2">
        <f t="shared" si="36"/>
        <v>16</v>
      </c>
      <c r="G186" s="2">
        <f t="shared" si="37"/>
        <v>4</v>
      </c>
      <c r="H186" s="10">
        <f t="shared" si="38"/>
        <v>-887.35615656627056</v>
      </c>
      <c r="I186" s="11">
        <f t="shared" si="32"/>
        <v>-117.71508928037947</v>
      </c>
      <c r="J186" s="10">
        <f t="shared" si="33"/>
        <v>-769.64106728589104</v>
      </c>
      <c r="K186" s="10">
        <f t="shared" si="34"/>
        <v>46316.394644865897</v>
      </c>
      <c r="L186" s="11">
        <f t="shared" si="35"/>
        <v>-231.25350049907959</v>
      </c>
      <c r="M186" s="11"/>
    </row>
    <row r="187" spans="6:13" x14ac:dyDescent="0.25">
      <c r="F187" s="2">
        <f t="shared" si="36"/>
        <v>16</v>
      </c>
      <c r="G187" s="2">
        <f t="shared" si="37"/>
        <v>5</v>
      </c>
      <c r="H187" s="10">
        <f t="shared" si="38"/>
        <v>-887.35615656627056</v>
      </c>
      <c r="I187" s="11">
        <f t="shared" ref="I187:I242" si="40">-K186*$D$12</f>
        <v>-115.79098661216474</v>
      </c>
      <c r="J187" s="10">
        <f t="shared" ref="J187:J242" si="41">H187-I187</f>
        <v>-771.56516995410584</v>
      </c>
      <c r="K187" s="10">
        <f t="shared" ref="K187:K242" si="42">K186+J187</f>
        <v>45544.829474911792</v>
      </c>
      <c r="L187" s="11">
        <f t="shared" ref="L187:L242" si="43">-($C$15/12+$C$17*$C$11/12+$C$18/12*(1+$C$19)^($F187-1)+$C$20*S187/12)</f>
        <v>-231.25350049907959</v>
      </c>
      <c r="M187" s="11"/>
    </row>
    <row r="188" spans="6:13" x14ac:dyDescent="0.25">
      <c r="F188" s="2">
        <f t="shared" si="36"/>
        <v>16</v>
      </c>
      <c r="G188" s="2">
        <f t="shared" si="37"/>
        <v>6</v>
      </c>
      <c r="H188" s="10">
        <f t="shared" si="38"/>
        <v>-887.35615656627056</v>
      </c>
      <c r="I188" s="11">
        <f t="shared" si="40"/>
        <v>-113.86207368727948</v>
      </c>
      <c r="J188" s="10">
        <f t="shared" si="41"/>
        <v>-773.49408287899109</v>
      </c>
      <c r="K188" s="10">
        <f t="shared" si="42"/>
        <v>44771.335392032801</v>
      </c>
      <c r="L188" s="11">
        <f t="shared" si="43"/>
        <v>-231.25350049907959</v>
      </c>
      <c r="M188" s="11"/>
    </row>
    <row r="189" spans="6:13" x14ac:dyDescent="0.25">
      <c r="F189" s="2">
        <f t="shared" ref="F189:F242" si="44">F177+1</f>
        <v>16</v>
      </c>
      <c r="G189" s="2">
        <f t="shared" ref="G189:G242" si="45">G177</f>
        <v>7</v>
      </c>
      <c r="H189" s="10">
        <f t="shared" si="38"/>
        <v>-887.35615656627056</v>
      </c>
      <c r="I189" s="11">
        <f t="shared" si="40"/>
        <v>-111.928338480082</v>
      </c>
      <c r="J189" s="10">
        <f t="shared" si="41"/>
        <v>-775.42781808618861</v>
      </c>
      <c r="K189" s="10">
        <f t="shared" si="42"/>
        <v>43995.907573946613</v>
      </c>
      <c r="L189" s="11">
        <f t="shared" si="43"/>
        <v>-231.25350049907959</v>
      </c>
      <c r="M189" s="11"/>
    </row>
    <row r="190" spans="6:13" x14ac:dyDescent="0.25">
      <c r="F190" s="2">
        <f t="shared" si="44"/>
        <v>16</v>
      </c>
      <c r="G190" s="2">
        <f t="shared" si="45"/>
        <v>8</v>
      </c>
      <c r="H190" s="10">
        <f t="shared" si="38"/>
        <v>-887.35615656627056</v>
      </c>
      <c r="I190" s="11">
        <f t="shared" si="40"/>
        <v>-109.98976893486653</v>
      </c>
      <c r="J190" s="10">
        <f t="shared" si="41"/>
        <v>-777.366387631404</v>
      </c>
      <c r="K190" s="10">
        <f t="shared" si="42"/>
        <v>43218.541186315211</v>
      </c>
      <c r="L190" s="11">
        <f t="shared" si="43"/>
        <v>-231.25350049907959</v>
      </c>
      <c r="M190" s="11"/>
    </row>
    <row r="191" spans="6:13" x14ac:dyDescent="0.25">
      <c r="F191" s="2">
        <f t="shared" si="44"/>
        <v>16</v>
      </c>
      <c r="G191" s="2">
        <f t="shared" si="45"/>
        <v>9</v>
      </c>
      <c r="H191" s="10">
        <f t="shared" si="38"/>
        <v>-887.35615656627056</v>
      </c>
      <c r="I191" s="11">
        <f t="shared" si="40"/>
        <v>-108.04635296578803</v>
      </c>
      <c r="J191" s="10">
        <f t="shared" si="41"/>
        <v>-779.3098036004825</v>
      </c>
      <c r="K191" s="10">
        <f t="shared" si="42"/>
        <v>42439.23138271473</v>
      </c>
      <c r="L191" s="11">
        <f t="shared" si="43"/>
        <v>-231.25350049907959</v>
      </c>
      <c r="M191" s="11"/>
    </row>
    <row r="192" spans="6:13" x14ac:dyDescent="0.25">
      <c r="F192" s="2">
        <f t="shared" si="44"/>
        <v>16</v>
      </c>
      <c r="G192" s="2">
        <f t="shared" si="45"/>
        <v>10</v>
      </c>
      <c r="H192" s="10">
        <f t="shared" si="38"/>
        <v>-887.35615656627056</v>
      </c>
      <c r="I192" s="11">
        <f t="shared" si="40"/>
        <v>-106.09807845678682</v>
      </c>
      <c r="J192" s="10">
        <f t="shared" si="41"/>
        <v>-781.25807810948368</v>
      </c>
      <c r="K192" s="10">
        <f t="shared" si="42"/>
        <v>41657.97330460525</v>
      </c>
      <c r="L192" s="11">
        <f t="shared" si="43"/>
        <v>-231.25350049907959</v>
      </c>
      <c r="M192" s="11"/>
    </row>
    <row r="193" spans="6:13" x14ac:dyDescent="0.25">
      <c r="F193" s="2">
        <f t="shared" si="44"/>
        <v>16</v>
      </c>
      <c r="G193" s="2">
        <f t="shared" si="45"/>
        <v>11</v>
      </c>
      <c r="H193" s="10">
        <f t="shared" si="38"/>
        <v>-887.35615656627056</v>
      </c>
      <c r="I193" s="11">
        <f t="shared" si="40"/>
        <v>-104.14493326151313</v>
      </c>
      <c r="J193" s="10">
        <f t="shared" si="41"/>
        <v>-783.21122330475737</v>
      </c>
      <c r="K193" s="10">
        <f t="shared" si="42"/>
        <v>40874.762081300491</v>
      </c>
      <c r="L193" s="11">
        <f t="shared" si="43"/>
        <v>-231.25350049907959</v>
      </c>
      <c r="M193" s="11"/>
    </row>
    <row r="194" spans="6:13" x14ac:dyDescent="0.25">
      <c r="F194" s="2">
        <f t="shared" si="44"/>
        <v>16</v>
      </c>
      <c r="G194" s="2">
        <f t="shared" si="45"/>
        <v>12</v>
      </c>
      <c r="H194" s="10">
        <f t="shared" si="38"/>
        <v>-887.35615656627056</v>
      </c>
      <c r="I194" s="11">
        <f t="shared" si="40"/>
        <v>-102.18690520325123</v>
      </c>
      <c r="J194" s="10">
        <f t="shared" si="41"/>
        <v>-785.16925136301938</v>
      </c>
      <c r="K194" s="10">
        <f t="shared" si="42"/>
        <v>40089.592829937472</v>
      </c>
      <c r="L194" s="11">
        <f t="shared" si="43"/>
        <v>-231.25350049907959</v>
      </c>
      <c r="M194" s="11"/>
    </row>
    <row r="195" spans="6:13" x14ac:dyDescent="0.25">
      <c r="F195" s="2">
        <f t="shared" si="44"/>
        <v>17</v>
      </c>
      <c r="G195" s="2">
        <f t="shared" si="45"/>
        <v>1</v>
      </c>
      <c r="H195" s="10">
        <f t="shared" ref="H195:H242" si="46">-$C$14</f>
        <v>-887.35615656627056</v>
      </c>
      <c r="I195" s="11">
        <f t="shared" si="40"/>
        <v>-100.22398207484368</v>
      </c>
      <c r="J195" s="10">
        <f t="shared" si="41"/>
        <v>-787.13217449142689</v>
      </c>
      <c r="K195" s="10">
        <f t="shared" si="42"/>
        <v>39302.460655446048</v>
      </c>
      <c r="L195" s="11">
        <f t="shared" si="43"/>
        <v>-233.94523717572787</v>
      </c>
      <c r="M195" s="11"/>
    </row>
    <row r="196" spans="6:13" x14ac:dyDescent="0.25">
      <c r="F196" s="2">
        <f t="shared" si="44"/>
        <v>17</v>
      </c>
      <c r="G196" s="2">
        <f t="shared" si="45"/>
        <v>2</v>
      </c>
      <c r="H196" s="10">
        <f t="shared" si="46"/>
        <v>-887.35615656627056</v>
      </c>
      <c r="I196" s="11">
        <f t="shared" si="40"/>
        <v>-98.256151638615123</v>
      </c>
      <c r="J196" s="10">
        <f t="shared" si="41"/>
        <v>-789.10000492765539</v>
      </c>
      <c r="K196" s="10">
        <f t="shared" si="42"/>
        <v>38513.360650518393</v>
      </c>
      <c r="L196" s="11">
        <f t="shared" si="43"/>
        <v>-233.94523717572787</v>
      </c>
      <c r="M196" s="11"/>
    </row>
    <row r="197" spans="6:13" x14ac:dyDescent="0.25">
      <c r="F197" s="2">
        <f t="shared" si="44"/>
        <v>17</v>
      </c>
      <c r="G197" s="2">
        <f t="shared" si="45"/>
        <v>3</v>
      </c>
      <c r="H197" s="10">
        <f t="shared" si="46"/>
        <v>-887.35615656627056</v>
      </c>
      <c r="I197" s="11">
        <f t="shared" si="40"/>
        <v>-96.283401626295984</v>
      </c>
      <c r="J197" s="10">
        <f t="shared" si="41"/>
        <v>-791.07275493997463</v>
      </c>
      <c r="K197" s="10">
        <f t="shared" si="42"/>
        <v>37722.287895578418</v>
      </c>
      <c r="L197" s="11">
        <f t="shared" si="43"/>
        <v>-233.94523717572787</v>
      </c>
      <c r="M197" s="11"/>
    </row>
    <row r="198" spans="6:13" x14ac:dyDescent="0.25">
      <c r="F198" s="2">
        <f t="shared" si="44"/>
        <v>17</v>
      </c>
      <c r="G198" s="2">
        <f t="shared" si="45"/>
        <v>4</v>
      </c>
      <c r="H198" s="10">
        <f t="shared" si="46"/>
        <v>-887.35615656627056</v>
      </c>
      <c r="I198" s="11">
        <f t="shared" si="40"/>
        <v>-94.305719738946053</v>
      </c>
      <c r="J198" s="10">
        <f t="shared" si="41"/>
        <v>-793.05043682732446</v>
      </c>
      <c r="K198" s="10">
        <f t="shared" si="42"/>
        <v>36929.237458751093</v>
      </c>
      <c r="L198" s="11">
        <f t="shared" si="43"/>
        <v>-233.94523717572787</v>
      </c>
      <c r="M198" s="11"/>
    </row>
    <row r="199" spans="6:13" x14ac:dyDescent="0.25">
      <c r="F199" s="2">
        <f t="shared" si="44"/>
        <v>17</v>
      </c>
      <c r="G199" s="2">
        <f t="shared" si="45"/>
        <v>5</v>
      </c>
      <c r="H199" s="10">
        <f t="shared" si="46"/>
        <v>-887.35615656627056</v>
      </c>
      <c r="I199" s="11">
        <f t="shared" si="40"/>
        <v>-92.323093646877737</v>
      </c>
      <c r="J199" s="10">
        <f t="shared" si="41"/>
        <v>-795.03306291939282</v>
      </c>
      <c r="K199" s="10">
        <f t="shared" si="42"/>
        <v>36134.204395831701</v>
      </c>
      <c r="L199" s="11">
        <f t="shared" si="43"/>
        <v>-233.94523717572787</v>
      </c>
      <c r="M199" s="11"/>
    </row>
    <row r="200" spans="6:13" x14ac:dyDescent="0.25">
      <c r="F200" s="2">
        <f t="shared" si="44"/>
        <v>17</v>
      </c>
      <c r="G200" s="2">
        <f t="shared" si="45"/>
        <v>6</v>
      </c>
      <c r="H200" s="10">
        <f t="shared" si="46"/>
        <v>-887.35615656627056</v>
      </c>
      <c r="I200" s="11">
        <f t="shared" si="40"/>
        <v>-90.335510989579248</v>
      </c>
      <c r="J200" s="10">
        <f t="shared" si="41"/>
        <v>-797.02064557669132</v>
      </c>
      <c r="K200" s="10">
        <f t="shared" si="42"/>
        <v>35337.183750255012</v>
      </c>
      <c r="L200" s="11">
        <f t="shared" si="43"/>
        <v>-233.94523717572787</v>
      </c>
      <c r="M200" s="11"/>
    </row>
    <row r="201" spans="6:13" x14ac:dyDescent="0.25">
      <c r="F201" s="2">
        <f t="shared" si="44"/>
        <v>17</v>
      </c>
      <c r="G201" s="2">
        <f t="shared" si="45"/>
        <v>7</v>
      </c>
      <c r="H201" s="10">
        <f t="shared" si="46"/>
        <v>-887.35615656627056</v>
      </c>
      <c r="I201" s="11">
        <f t="shared" si="40"/>
        <v>-88.342959375637534</v>
      </c>
      <c r="J201" s="10">
        <f t="shared" si="41"/>
        <v>-799.01319719063304</v>
      </c>
      <c r="K201" s="10">
        <f t="shared" si="42"/>
        <v>34538.170553064381</v>
      </c>
      <c r="L201" s="11">
        <f t="shared" si="43"/>
        <v>-233.94523717572787</v>
      </c>
      <c r="M201" s="11"/>
    </row>
    <row r="202" spans="6:13" x14ac:dyDescent="0.25">
      <c r="F202" s="2">
        <f t="shared" si="44"/>
        <v>17</v>
      </c>
      <c r="G202" s="2">
        <f t="shared" si="45"/>
        <v>8</v>
      </c>
      <c r="H202" s="10">
        <f t="shared" si="46"/>
        <v>-887.35615656627056</v>
      </c>
      <c r="I202" s="11">
        <f t="shared" si="40"/>
        <v>-86.34542638266096</v>
      </c>
      <c r="J202" s="10">
        <f t="shared" si="41"/>
        <v>-801.01073018360955</v>
      </c>
      <c r="K202" s="10">
        <f t="shared" si="42"/>
        <v>33737.159822880771</v>
      </c>
      <c r="L202" s="11">
        <f t="shared" si="43"/>
        <v>-233.94523717572787</v>
      </c>
      <c r="M202" s="11"/>
    </row>
    <row r="203" spans="6:13" x14ac:dyDescent="0.25">
      <c r="F203" s="2">
        <f t="shared" si="44"/>
        <v>17</v>
      </c>
      <c r="G203" s="2">
        <f t="shared" si="45"/>
        <v>9</v>
      </c>
      <c r="H203" s="10">
        <f t="shared" si="46"/>
        <v>-887.35615656627056</v>
      </c>
      <c r="I203" s="11">
        <f t="shared" si="40"/>
        <v>-84.342899557201932</v>
      </c>
      <c r="J203" s="10">
        <f t="shared" si="41"/>
        <v>-803.01325700906864</v>
      </c>
      <c r="K203" s="10">
        <f t="shared" si="42"/>
        <v>32934.146565871699</v>
      </c>
      <c r="L203" s="11">
        <f t="shared" si="43"/>
        <v>-233.94523717572787</v>
      </c>
      <c r="M203" s="11"/>
    </row>
    <row r="204" spans="6:13" x14ac:dyDescent="0.25">
      <c r="F204" s="2">
        <f t="shared" si="44"/>
        <v>17</v>
      </c>
      <c r="G204" s="2">
        <f t="shared" si="45"/>
        <v>10</v>
      </c>
      <c r="H204" s="10">
        <f t="shared" si="46"/>
        <v>-887.35615656627056</v>
      </c>
      <c r="I204" s="11">
        <f t="shared" si="40"/>
        <v>-82.335366414679243</v>
      </c>
      <c r="J204" s="10">
        <f t="shared" si="41"/>
        <v>-805.02079015159131</v>
      </c>
      <c r="K204" s="10">
        <f t="shared" si="42"/>
        <v>32129.125775720109</v>
      </c>
      <c r="L204" s="11">
        <f t="shared" si="43"/>
        <v>-233.94523717572787</v>
      </c>
      <c r="M204" s="11"/>
    </row>
    <row r="205" spans="6:13" x14ac:dyDescent="0.25">
      <c r="F205" s="2">
        <f t="shared" si="44"/>
        <v>17</v>
      </c>
      <c r="G205" s="2">
        <f t="shared" si="45"/>
        <v>11</v>
      </c>
      <c r="H205" s="10">
        <f t="shared" si="46"/>
        <v>-887.35615656627056</v>
      </c>
      <c r="I205" s="11">
        <f t="shared" si="40"/>
        <v>-80.322814439300274</v>
      </c>
      <c r="J205" s="10">
        <f t="shared" si="41"/>
        <v>-807.0333421269703</v>
      </c>
      <c r="K205" s="10">
        <f t="shared" si="42"/>
        <v>31322.092433593138</v>
      </c>
      <c r="L205" s="11">
        <f t="shared" si="43"/>
        <v>-233.94523717572787</v>
      </c>
      <c r="M205" s="11"/>
    </row>
    <row r="206" spans="6:13" x14ac:dyDescent="0.25">
      <c r="F206" s="2">
        <f t="shared" si="44"/>
        <v>17</v>
      </c>
      <c r="G206" s="2">
        <f t="shared" si="45"/>
        <v>12</v>
      </c>
      <c r="H206" s="10">
        <f t="shared" si="46"/>
        <v>-887.35615656627056</v>
      </c>
      <c r="I206" s="11">
        <f t="shared" si="40"/>
        <v>-78.305231083982846</v>
      </c>
      <c r="J206" s="10">
        <f t="shared" si="41"/>
        <v>-809.05092548228777</v>
      </c>
      <c r="K206" s="10">
        <f t="shared" si="42"/>
        <v>30513.041508110851</v>
      </c>
      <c r="L206" s="11">
        <f t="shared" si="43"/>
        <v>-233.94523717572787</v>
      </c>
      <c r="M206" s="11"/>
    </row>
    <row r="207" spans="6:13" x14ac:dyDescent="0.25">
      <c r="F207" s="2">
        <f t="shared" si="44"/>
        <v>18</v>
      </c>
      <c r="G207" s="2">
        <f t="shared" si="45"/>
        <v>1</v>
      </c>
      <c r="H207" s="10">
        <f t="shared" si="46"/>
        <v>-887.35615656627056</v>
      </c>
      <c r="I207" s="11">
        <f t="shared" si="40"/>
        <v>-76.282603770277134</v>
      </c>
      <c r="J207" s="10">
        <f t="shared" si="41"/>
        <v>-811.07355279599346</v>
      </c>
      <c r="K207" s="10">
        <f t="shared" si="42"/>
        <v>29701.967955314856</v>
      </c>
      <c r="L207" s="11">
        <f t="shared" si="43"/>
        <v>-236.69080858590911</v>
      </c>
      <c r="M207" s="11"/>
    </row>
    <row r="208" spans="6:13" x14ac:dyDescent="0.25">
      <c r="F208" s="2">
        <f t="shared" si="44"/>
        <v>18</v>
      </c>
      <c r="G208" s="2">
        <f t="shared" si="45"/>
        <v>2</v>
      </c>
      <c r="H208" s="10">
        <f t="shared" si="46"/>
        <v>-887.35615656627056</v>
      </c>
      <c r="I208" s="11">
        <f t="shared" si="40"/>
        <v>-74.254919888287148</v>
      </c>
      <c r="J208" s="10">
        <f t="shared" si="41"/>
        <v>-813.10123667798337</v>
      </c>
      <c r="K208" s="10">
        <f t="shared" si="42"/>
        <v>28888.866718636873</v>
      </c>
      <c r="L208" s="11">
        <f t="shared" si="43"/>
        <v>-236.69080858590911</v>
      </c>
      <c r="M208" s="11"/>
    </row>
    <row r="209" spans="6:13" x14ac:dyDescent="0.25">
      <c r="F209" s="2">
        <f t="shared" si="44"/>
        <v>18</v>
      </c>
      <c r="G209" s="2">
        <f t="shared" si="45"/>
        <v>3</v>
      </c>
      <c r="H209" s="10">
        <f t="shared" si="46"/>
        <v>-887.35615656627056</v>
      </c>
      <c r="I209" s="11">
        <f t="shared" si="40"/>
        <v>-72.222166796592191</v>
      </c>
      <c r="J209" s="10">
        <f t="shared" si="41"/>
        <v>-815.13398976967835</v>
      </c>
      <c r="K209" s="10">
        <f t="shared" si="42"/>
        <v>28073.732728867195</v>
      </c>
      <c r="L209" s="11">
        <f t="shared" si="43"/>
        <v>-236.69080858590911</v>
      </c>
      <c r="M209" s="11"/>
    </row>
    <row r="210" spans="6:13" x14ac:dyDescent="0.25">
      <c r="F210" s="2">
        <f t="shared" si="44"/>
        <v>18</v>
      </c>
      <c r="G210" s="2">
        <f t="shared" si="45"/>
        <v>4</v>
      </c>
      <c r="H210" s="10">
        <f t="shared" si="46"/>
        <v>-887.35615656627056</v>
      </c>
      <c r="I210" s="11">
        <f t="shared" si="40"/>
        <v>-70.184331822167991</v>
      </c>
      <c r="J210" s="10">
        <f t="shared" si="41"/>
        <v>-817.17182474410254</v>
      </c>
      <c r="K210" s="10">
        <f t="shared" si="42"/>
        <v>27256.560904123093</v>
      </c>
      <c r="L210" s="11">
        <f t="shared" si="43"/>
        <v>-236.69080858590911</v>
      </c>
      <c r="M210" s="11"/>
    </row>
    <row r="211" spans="6:13" x14ac:dyDescent="0.25">
      <c r="F211" s="2">
        <f t="shared" si="44"/>
        <v>18</v>
      </c>
      <c r="G211" s="2">
        <f t="shared" si="45"/>
        <v>5</v>
      </c>
      <c r="H211" s="10">
        <f t="shared" si="46"/>
        <v>-887.35615656627056</v>
      </c>
      <c r="I211" s="11">
        <f t="shared" si="40"/>
        <v>-68.141402260307729</v>
      </c>
      <c r="J211" s="10">
        <f t="shared" si="41"/>
        <v>-819.21475430596286</v>
      </c>
      <c r="K211" s="10">
        <f t="shared" si="42"/>
        <v>26437.346149817131</v>
      </c>
      <c r="L211" s="11">
        <f t="shared" si="43"/>
        <v>-236.69080858590911</v>
      </c>
      <c r="M211" s="11"/>
    </row>
    <row r="212" spans="6:13" x14ac:dyDescent="0.25">
      <c r="F212" s="2">
        <f t="shared" si="44"/>
        <v>18</v>
      </c>
      <c r="G212" s="2">
        <f t="shared" si="45"/>
        <v>6</v>
      </c>
      <c r="H212" s="10">
        <f t="shared" si="46"/>
        <v>-887.35615656627056</v>
      </c>
      <c r="I212" s="11">
        <f t="shared" si="40"/>
        <v>-66.093365374542827</v>
      </c>
      <c r="J212" s="10">
        <f t="shared" si="41"/>
        <v>-821.26279119172773</v>
      </c>
      <c r="K212" s="10">
        <f t="shared" si="42"/>
        <v>25616.083358625405</v>
      </c>
      <c r="L212" s="11">
        <f t="shared" si="43"/>
        <v>-236.69080858590911</v>
      </c>
      <c r="M212" s="11"/>
    </row>
    <row r="213" spans="6:13" x14ac:dyDescent="0.25">
      <c r="F213" s="2">
        <f t="shared" si="44"/>
        <v>18</v>
      </c>
      <c r="G213" s="2">
        <f t="shared" si="45"/>
        <v>7</v>
      </c>
      <c r="H213" s="10">
        <f t="shared" si="46"/>
        <v>-887.35615656627056</v>
      </c>
      <c r="I213" s="11">
        <f t="shared" si="40"/>
        <v>-64.040208396563514</v>
      </c>
      <c r="J213" s="10">
        <f t="shared" si="41"/>
        <v>-823.3159481697071</v>
      </c>
      <c r="K213" s="10">
        <f t="shared" si="42"/>
        <v>24792.767410455697</v>
      </c>
      <c r="L213" s="11">
        <f t="shared" si="43"/>
        <v>-236.69080858590911</v>
      </c>
      <c r="M213" s="11"/>
    </row>
    <row r="214" spans="6:13" x14ac:dyDescent="0.25">
      <c r="F214" s="2">
        <f t="shared" si="44"/>
        <v>18</v>
      </c>
      <c r="G214" s="2">
        <f t="shared" si="45"/>
        <v>8</v>
      </c>
      <c r="H214" s="10">
        <f t="shared" si="46"/>
        <v>-887.35615656627056</v>
      </c>
      <c r="I214" s="11">
        <f t="shared" si="40"/>
        <v>-61.981918526139246</v>
      </c>
      <c r="J214" s="10">
        <f t="shared" si="41"/>
        <v>-825.37423804013133</v>
      </c>
      <c r="K214" s="10">
        <f t="shared" si="42"/>
        <v>23967.393172415566</v>
      </c>
      <c r="L214" s="11">
        <f t="shared" si="43"/>
        <v>-236.69080858590911</v>
      </c>
      <c r="M214" s="11"/>
    </row>
    <row r="215" spans="6:13" x14ac:dyDescent="0.25">
      <c r="F215" s="2">
        <f t="shared" si="44"/>
        <v>18</v>
      </c>
      <c r="G215" s="2">
        <f t="shared" si="45"/>
        <v>9</v>
      </c>
      <c r="H215" s="10">
        <f t="shared" si="46"/>
        <v>-887.35615656627056</v>
      </c>
      <c r="I215" s="11">
        <f t="shared" si="40"/>
        <v>-59.918482931038916</v>
      </c>
      <c r="J215" s="10">
        <f t="shared" si="41"/>
        <v>-827.43767363523159</v>
      </c>
      <c r="K215" s="10">
        <f t="shared" si="42"/>
        <v>23139.955498780335</v>
      </c>
      <c r="L215" s="11">
        <f t="shared" si="43"/>
        <v>-236.69080858590911</v>
      </c>
      <c r="M215" s="11"/>
    </row>
    <row r="216" spans="6:13" x14ac:dyDescent="0.25">
      <c r="F216" s="2">
        <f t="shared" si="44"/>
        <v>18</v>
      </c>
      <c r="G216" s="2">
        <f t="shared" si="45"/>
        <v>10</v>
      </c>
      <c r="H216" s="10">
        <f t="shared" si="46"/>
        <v>-887.35615656627056</v>
      </c>
      <c r="I216" s="11">
        <f t="shared" si="40"/>
        <v>-57.849888746950839</v>
      </c>
      <c r="J216" s="10">
        <f t="shared" si="41"/>
        <v>-829.50626781931976</v>
      </c>
      <c r="K216" s="10">
        <f t="shared" si="42"/>
        <v>22310.449230961014</v>
      </c>
      <c r="L216" s="11">
        <f t="shared" si="43"/>
        <v>-236.69080858590911</v>
      </c>
      <c r="M216" s="11"/>
    </row>
    <row r="217" spans="6:13" x14ac:dyDescent="0.25">
      <c r="F217" s="2">
        <f t="shared" si="44"/>
        <v>18</v>
      </c>
      <c r="G217" s="2">
        <f t="shared" si="45"/>
        <v>11</v>
      </c>
      <c r="H217" s="10">
        <f t="shared" si="46"/>
        <v>-887.35615656627056</v>
      </c>
      <c r="I217" s="11">
        <f t="shared" si="40"/>
        <v>-55.776123077402538</v>
      </c>
      <c r="J217" s="10">
        <f t="shared" si="41"/>
        <v>-831.58003348886803</v>
      </c>
      <c r="K217" s="10">
        <f t="shared" si="42"/>
        <v>21478.869197472148</v>
      </c>
      <c r="L217" s="11">
        <f t="shared" si="43"/>
        <v>-236.69080858590911</v>
      </c>
      <c r="M217" s="11"/>
    </row>
    <row r="218" spans="6:13" x14ac:dyDescent="0.25">
      <c r="F218" s="2">
        <f t="shared" si="44"/>
        <v>18</v>
      </c>
      <c r="G218" s="2">
        <f t="shared" si="45"/>
        <v>12</v>
      </c>
      <c r="H218" s="10">
        <f t="shared" si="46"/>
        <v>-887.35615656627056</v>
      </c>
      <c r="I218" s="11">
        <f t="shared" si="40"/>
        <v>-53.697172993680368</v>
      </c>
      <c r="J218" s="10">
        <f t="shared" si="41"/>
        <v>-833.65898357259016</v>
      </c>
      <c r="K218" s="10">
        <f t="shared" si="42"/>
        <v>20645.210213899558</v>
      </c>
      <c r="L218" s="11">
        <f t="shared" si="43"/>
        <v>-236.69080858590911</v>
      </c>
      <c r="M218" s="11"/>
    </row>
    <row r="219" spans="6:13" x14ac:dyDescent="0.25">
      <c r="F219" s="2">
        <f t="shared" si="44"/>
        <v>19</v>
      </c>
      <c r="G219" s="2">
        <f t="shared" si="45"/>
        <v>1</v>
      </c>
      <c r="H219" s="10">
        <f t="shared" si="46"/>
        <v>-887.35615656627056</v>
      </c>
      <c r="I219" s="11">
        <f t="shared" si="40"/>
        <v>-51.613025534748893</v>
      </c>
      <c r="J219" s="10">
        <f t="shared" si="41"/>
        <v>-835.74313103152167</v>
      </c>
      <c r="K219" s="10">
        <f t="shared" si="42"/>
        <v>19809.467082868036</v>
      </c>
      <c r="L219" s="11">
        <f t="shared" si="43"/>
        <v>-239.49129142429393</v>
      </c>
      <c r="M219" s="11"/>
    </row>
    <row r="220" spans="6:13" x14ac:dyDescent="0.25">
      <c r="F220" s="2">
        <f t="shared" si="44"/>
        <v>19</v>
      </c>
      <c r="G220" s="2">
        <f t="shared" si="45"/>
        <v>2</v>
      </c>
      <c r="H220" s="10">
        <f t="shared" si="46"/>
        <v>-887.35615656627056</v>
      </c>
      <c r="I220" s="11">
        <f t="shared" si="40"/>
        <v>-49.523667707170091</v>
      </c>
      <c r="J220" s="10">
        <f t="shared" si="41"/>
        <v>-837.83248885910052</v>
      </c>
      <c r="K220" s="10">
        <f t="shared" si="42"/>
        <v>18971.634594008934</v>
      </c>
      <c r="L220" s="11">
        <f t="shared" si="43"/>
        <v>-239.49129142429393</v>
      </c>
      <c r="M220" s="11"/>
    </row>
    <row r="221" spans="6:13" x14ac:dyDescent="0.25">
      <c r="F221" s="2">
        <f t="shared" si="44"/>
        <v>19</v>
      </c>
      <c r="G221" s="2">
        <f t="shared" si="45"/>
        <v>3</v>
      </c>
      <c r="H221" s="10">
        <f t="shared" si="46"/>
        <v>-887.35615656627056</v>
      </c>
      <c r="I221" s="11">
        <f t="shared" si="40"/>
        <v>-47.429086485022339</v>
      </c>
      <c r="J221" s="10">
        <f t="shared" si="41"/>
        <v>-839.92707008124819</v>
      </c>
      <c r="K221" s="10">
        <f t="shared" si="42"/>
        <v>18131.707523927686</v>
      </c>
      <c r="L221" s="11">
        <f t="shared" si="43"/>
        <v>-239.49129142429393</v>
      </c>
      <c r="M221" s="11"/>
    </row>
    <row r="222" spans="6:13" x14ac:dyDescent="0.25">
      <c r="F222" s="2">
        <f t="shared" si="44"/>
        <v>19</v>
      </c>
      <c r="G222" s="2">
        <f t="shared" si="45"/>
        <v>4</v>
      </c>
      <c r="H222" s="10">
        <f t="shared" si="46"/>
        <v>-887.35615656627056</v>
      </c>
      <c r="I222" s="11">
        <f t="shared" si="40"/>
        <v>-45.329268809819212</v>
      </c>
      <c r="J222" s="10">
        <f t="shared" si="41"/>
        <v>-842.02688775645129</v>
      </c>
      <c r="K222" s="10">
        <f t="shared" si="42"/>
        <v>17289.680636171233</v>
      </c>
      <c r="L222" s="11">
        <f t="shared" si="43"/>
        <v>-239.49129142429393</v>
      </c>
      <c r="M222" s="11"/>
    </row>
    <row r="223" spans="6:13" x14ac:dyDescent="0.25">
      <c r="F223" s="2">
        <f t="shared" si="44"/>
        <v>19</v>
      </c>
      <c r="G223" s="2">
        <f t="shared" si="45"/>
        <v>5</v>
      </c>
      <c r="H223" s="10">
        <f t="shared" si="46"/>
        <v>-887.35615656627056</v>
      </c>
      <c r="I223" s="11">
        <f t="shared" si="40"/>
        <v>-43.224201590428088</v>
      </c>
      <c r="J223" s="10">
        <f t="shared" si="41"/>
        <v>-844.13195497584252</v>
      </c>
      <c r="K223" s="10">
        <f t="shared" si="42"/>
        <v>16445.548681195392</v>
      </c>
      <c r="L223" s="11">
        <f t="shared" si="43"/>
        <v>-239.49129142429393</v>
      </c>
      <c r="M223" s="11"/>
    </row>
    <row r="224" spans="6:13" x14ac:dyDescent="0.25">
      <c r="F224" s="2">
        <f t="shared" si="44"/>
        <v>19</v>
      </c>
      <c r="G224" s="2">
        <f t="shared" si="45"/>
        <v>6</v>
      </c>
      <c r="H224" s="10">
        <f t="shared" si="46"/>
        <v>-887.35615656627056</v>
      </c>
      <c r="I224" s="11">
        <f t="shared" si="40"/>
        <v>-41.113871702988483</v>
      </c>
      <c r="J224" s="10">
        <f t="shared" si="41"/>
        <v>-846.24228486328207</v>
      </c>
      <c r="K224" s="10">
        <f t="shared" si="42"/>
        <v>15599.306396332111</v>
      </c>
      <c r="L224" s="11">
        <f t="shared" si="43"/>
        <v>-239.49129142429393</v>
      </c>
      <c r="M224" s="11"/>
    </row>
    <row r="225" spans="6:13" x14ac:dyDescent="0.25">
      <c r="F225" s="2">
        <f t="shared" si="44"/>
        <v>19</v>
      </c>
      <c r="G225" s="2">
        <f t="shared" si="45"/>
        <v>7</v>
      </c>
      <c r="H225" s="10">
        <f t="shared" si="46"/>
        <v>-887.35615656627056</v>
      </c>
      <c r="I225" s="11">
        <f t="shared" si="40"/>
        <v>-38.998265990830276</v>
      </c>
      <c r="J225" s="10">
        <f t="shared" si="41"/>
        <v>-848.35789057544025</v>
      </c>
      <c r="K225" s="10">
        <f t="shared" si="42"/>
        <v>14750.948505756671</v>
      </c>
      <c r="L225" s="11">
        <f t="shared" si="43"/>
        <v>-239.49129142429393</v>
      </c>
      <c r="M225" s="11"/>
    </row>
    <row r="226" spans="6:13" x14ac:dyDescent="0.25">
      <c r="F226" s="2">
        <f t="shared" si="44"/>
        <v>19</v>
      </c>
      <c r="G226" s="2">
        <f t="shared" si="45"/>
        <v>8</v>
      </c>
      <c r="H226" s="10">
        <f t="shared" si="46"/>
        <v>-887.35615656627056</v>
      </c>
      <c r="I226" s="11">
        <f t="shared" si="40"/>
        <v>-36.877371264391677</v>
      </c>
      <c r="J226" s="10">
        <f t="shared" si="41"/>
        <v>-850.47878530187893</v>
      </c>
      <c r="K226" s="10">
        <f t="shared" si="42"/>
        <v>13900.469720454792</v>
      </c>
      <c r="L226" s="11">
        <f t="shared" si="43"/>
        <v>-239.49129142429393</v>
      </c>
      <c r="M226" s="11"/>
    </row>
    <row r="227" spans="6:13" x14ac:dyDescent="0.25">
      <c r="F227" s="2">
        <f t="shared" si="44"/>
        <v>19</v>
      </c>
      <c r="G227" s="2">
        <f t="shared" si="45"/>
        <v>9</v>
      </c>
      <c r="H227" s="10">
        <f t="shared" si="46"/>
        <v>-887.35615656627056</v>
      </c>
      <c r="I227" s="11">
        <f t="shared" si="40"/>
        <v>-34.751174301136977</v>
      </c>
      <c r="J227" s="10">
        <f t="shared" si="41"/>
        <v>-852.60498226513357</v>
      </c>
      <c r="K227" s="10">
        <f t="shared" si="42"/>
        <v>13047.864738189659</v>
      </c>
      <c r="L227" s="11">
        <f t="shared" si="43"/>
        <v>-239.49129142429393</v>
      </c>
      <c r="M227" s="11"/>
    </row>
    <row r="228" spans="6:13" x14ac:dyDescent="0.25">
      <c r="F228" s="2">
        <f t="shared" si="44"/>
        <v>19</v>
      </c>
      <c r="G228" s="2">
        <f t="shared" si="45"/>
        <v>10</v>
      </c>
      <c r="H228" s="10">
        <f t="shared" si="46"/>
        <v>-887.35615656627056</v>
      </c>
      <c r="I228" s="11">
        <f t="shared" si="40"/>
        <v>-32.619661845474148</v>
      </c>
      <c r="J228" s="10">
        <f t="shared" si="41"/>
        <v>-854.73649472079637</v>
      </c>
      <c r="K228" s="10">
        <f t="shared" si="42"/>
        <v>12193.128243468862</v>
      </c>
      <c r="L228" s="11">
        <f t="shared" si="43"/>
        <v>-239.49129142429393</v>
      </c>
      <c r="M228" s="11"/>
    </row>
    <row r="229" spans="6:13" x14ac:dyDescent="0.25">
      <c r="F229" s="2">
        <f t="shared" si="44"/>
        <v>19</v>
      </c>
      <c r="G229" s="2">
        <f t="shared" si="45"/>
        <v>11</v>
      </c>
      <c r="H229" s="10">
        <f t="shared" si="46"/>
        <v>-887.35615656627056</v>
      </c>
      <c r="I229" s="11">
        <f t="shared" si="40"/>
        <v>-30.482820608672156</v>
      </c>
      <c r="J229" s="10">
        <f t="shared" si="41"/>
        <v>-856.87333595759844</v>
      </c>
      <c r="K229" s="10">
        <f t="shared" si="42"/>
        <v>11336.254907511264</v>
      </c>
      <c r="L229" s="11">
        <f t="shared" si="43"/>
        <v>-239.49129142429393</v>
      </c>
      <c r="M229" s="11"/>
    </row>
    <row r="230" spans="6:13" x14ac:dyDescent="0.25">
      <c r="F230" s="2">
        <f t="shared" si="44"/>
        <v>19</v>
      </c>
      <c r="G230" s="2">
        <f t="shared" si="45"/>
        <v>12</v>
      </c>
      <c r="H230" s="10">
        <f t="shared" si="46"/>
        <v>-887.35615656627056</v>
      </c>
      <c r="I230" s="11">
        <f t="shared" si="40"/>
        <v>-28.34063726877816</v>
      </c>
      <c r="J230" s="10">
        <f t="shared" si="41"/>
        <v>-859.01551929749235</v>
      </c>
      <c r="K230" s="10">
        <f t="shared" si="42"/>
        <v>10477.239388213771</v>
      </c>
      <c r="L230" s="11">
        <f t="shared" si="43"/>
        <v>-239.49129142429393</v>
      </c>
      <c r="M230" s="11"/>
    </row>
    <row r="231" spans="6:13" x14ac:dyDescent="0.25">
      <c r="F231" s="2">
        <f t="shared" si="44"/>
        <v>20</v>
      </c>
      <c r="G231" s="2">
        <f t="shared" si="45"/>
        <v>1</v>
      </c>
      <c r="H231" s="10">
        <f t="shared" si="46"/>
        <v>-887.35615656627056</v>
      </c>
      <c r="I231" s="11">
        <f t="shared" si="40"/>
        <v>-26.19309847053443</v>
      </c>
      <c r="J231" s="10">
        <f t="shared" si="41"/>
        <v>-861.16305809573612</v>
      </c>
      <c r="K231" s="10">
        <f t="shared" si="42"/>
        <v>9616.0763301180359</v>
      </c>
      <c r="L231" s="11">
        <f t="shared" si="43"/>
        <v>-242.34778391944647</v>
      </c>
      <c r="M231" s="11"/>
    </row>
    <row r="232" spans="6:13" x14ac:dyDescent="0.25">
      <c r="F232" s="2">
        <f t="shared" si="44"/>
        <v>20</v>
      </c>
      <c r="G232" s="2">
        <f t="shared" si="45"/>
        <v>2</v>
      </c>
      <c r="H232" s="10">
        <f t="shared" si="46"/>
        <v>-887.35615656627056</v>
      </c>
      <c r="I232" s="11">
        <f t="shared" si="40"/>
        <v>-24.040190825295092</v>
      </c>
      <c r="J232" s="10">
        <f t="shared" si="41"/>
        <v>-863.31596574097546</v>
      </c>
      <c r="K232" s="10">
        <f t="shared" si="42"/>
        <v>8752.7603643770599</v>
      </c>
      <c r="L232" s="11">
        <f t="shared" si="43"/>
        <v>-242.34778391944647</v>
      </c>
      <c r="M232" s="11"/>
    </row>
    <row r="233" spans="6:13" x14ac:dyDescent="0.25">
      <c r="F233" s="2">
        <f t="shared" si="44"/>
        <v>20</v>
      </c>
      <c r="G233" s="2">
        <f t="shared" si="45"/>
        <v>3</v>
      </c>
      <c r="H233" s="10">
        <f t="shared" si="46"/>
        <v>-887.35615656627056</v>
      </c>
      <c r="I233" s="11">
        <f t="shared" si="40"/>
        <v>-21.881900910942651</v>
      </c>
      <c r="J233" s="10">
        <f t="shared" si="41"/>
        <v>-865.47425565532785</v>
      </c>
      <c r="K233" s="10">
        <f t="shared" si="42"/>
        <v>7887.2861087217316</v>
      </c>
      <c r="L233" s="11">
        <f t="shared" si="43"/>
        <v>-242.34778391944647</v>
      </c>
      <c r="M233" s="11"/>
    </row>
    <row r="234" spans="6:13" x14ac:dyDescent="0.25">
      <c r="F234" s="2">
        <f t="shared" si="44"/>
        <v>20</v>
      </c>
      <c r="G234" s="2">
        <f t="shared" si="45"/>
        <v>4</v>
      </c>
      <c r="H234" s="10">
        <f t="shared" si="46"/>
        <v>-887.35615656627056</v>
      </c>
      <c r="I234" s="11">
        <f t="shared" si="40"/>
        <v>-19.718215271804329</v>
      </c>
      <c r="J234" s="10">
        <f t="shared" si="41"/>
        <v>-867.63794129446626</v>
      </c>
      <c r="K234" s="10">
        <f t="shared" si="42"/>
        <v>7019.6481674272654</v>
      </c>
      <c r="L234" s="11">
        <f t="shared" si="43"/>
        <v>-242.34778391944647</v>
      </c>
      <c r="M234" s="11"/>
    </row>
    <row r="235" spans="6:13" x14ac:dyDescent="0.25">
      <c r="F235" s="2">
        <f t="shared" si="44"/>
        <v>20</v>
      </c>
      <c r="G235" s="2">
        <f t="shared" si="45"/>
        <v>5</v>
      </c>
      <c r="H235" s="10">
        <f t="shared" si="46"/>
        <v>-887.35615656627056</v>
      </c>
      <c r="I235" s="11">
        <f t="shared" si="40"/>
        <v>-17.549120418568165</v>
      </c>
      <c r="J235" s="10">
        <f t="shared" si="41"/>
        <v>-869.80703614770243</v>
      </c>
      <c r="K235" s="10">
        <f t="shared" si="42"/>
        <v>6149.8411312795633</v>
      </c>
      <c r="L235" s="11">
        <f t="shared" si="43"/>
        <v>-242.34778391944647</v>
      </c>
      <c r="M235" s="11"/>
    </row>
    <row r="236" spans="6:13" x14ac:dyDescent="0.25">
      <c r="F236" s="2">
        <f t="shared" si="44"/>
        <v>20</v>
      </c>
      <c r="G236" s="2">
        <f t="shared" si="45"/>
        <v>6</v>
      </c>
      <c r="H236" s="10">
        <f t="shared" si="46"/>
        <v>-887.35615656627056</v>
      </c>
      <c r="I236" s="11">
        <f t="shared" si="40"/>
        <v>-15.374602828198908</v>
      </c>
      <c r="J236" s="10">
        <f t="shared" si="41"/>
        <v>-871.98155373807163</v>
      </c>
      <c r="K236" s="10">
        <f t="shared" si="42"/>
        <v>5277.8595775414915</v>
      </c>
      <c r="L236" s="11">
        <f t="shared" si="43"/>
        <v>-242.34778391944647</v>
      </c>
      <c r="M236" s="11"/>
    </row>
    <row r="237" spans="6:13" x14ac:dyDescent="0.25">
      <c r="F237" s="2">
        <f t="shared" si="44"/>
        <v>20</v>
      </c>
      <c r="G237" s="2">
        <f t="shared" si="45"/>
        <v>7</v>
      </c>
      <c r="H237" s="10">
        <f t="shared" si="46"/>
        <v>-887.35615656627056</v>
      </c>
      <c r="I237" s="11">
        <f t="shared" si="40"/>
        <v>-13.194648943853728</v>
      </c>
      <c r="J237" s="10">
        <f t="shared" si="41"/>
        <v>-874.16150762241682</v>
      </c>
      <c r="K237" s="10">
        <f t="shared" si="42"/>
        <v>4403.6980699190744</v>
      </c>
      <c r="L237" s="11">
        <f t="shared" si="43"/>
        <v>-242.34778391944647</v>
      </c>
      <c r="M237" s="11"/>
    </row>
    <row r="238" spans="6:13" x14ac:dyDescent="0.25">
      <c r="F238" s="2">
        <f t="shared" si="44"/>
        <v>20</v>
      </c>
      <c r="G238" s="2">
        <f t="shared" si="45"/>
        <v>8</v>
      </c>
      <c r="H238" s="10">
        <f t="shared" si="46"/>
        <v>-887.35615656627056</v>
      </c>
      <c r="I238" s="11">
        <f t="shared" si="40"/>
        <v>-11.009245174797686</v>
      </c>
      <c r="J238" s="10">
        <f t="shared" si="41"/>
        <v>-876.34691139147287</v>
      </c>
      <c r="K238" s="10">
        <f t="shared" si="42"/>
        <v>3527.3511585276015</v>
      </c>
      <c r="L238" s="11">
        <f t="shared" si="43"/>
        <v>-242.34778391944647</v>
      </c>
      <c r="M238" s="11"/>
    </row>
    <row r="239" spans="6:13" x14ac:dyDescent="0.25">
      <c r="F239" s="2">
        <f t="shared" si="44"/>
        <v>20</v>
      </c>
      <c r="G239" s="2">
        <f t="shared" si="45"/>
        <v>9</v>
      </c>
      <c r="H239" s="10">
        <f t="shared" si="46"/>
        <v>-887.35615656627056</v>
      </c>
      <c r="I239" s="11">
        <f t="shared" si="40"/>
        <v>-8.8183778963190047</v>
      </c>
      <c r="J239" s="10">
        <f t="shared" si="41"/>
        <v>-878.53777866995154</v>
      </c>
      <c r="K239" s="10">
        <f t="shared" si="42"/>
        <v>2648.81337985765</v>
      </c>
      <c r="L239" s="11">
        <f t="shared" si="43"/>
        <v>-242.34778391944647</v>
      </c>
      <c r="M239" s="11"/>
    </row>
    <row r="240" spans="6:13" x14ac:dyDescent="0.25">
      <c r="F240" s="2">
        <f t="shared" si="44"/>
        <v>20</v>
      </c>
      <c r="G240" s="2">
        <f t="shared" si="45"/>
        <v>10</v>
      </c>
      <c r="H240" s="10">
        <f t="shared" si="46"/>
        <v>-887.35615656627056</v>
      </c>
      <c r="I240" s="11">
        <f t="shared" si="40"/>
        <v>-6.6220334496441255</v>
      </c>
      <c r="J240" s="10">
        <f t="shared" si="41"/>
        <v>-880.73412311662639</v>
      </c>
      <c r="K240" s="10">
        <f t="shared" si="42"/>
        <v>1768.0792567410235</v>
      </c>
      <c r="L240" s="11">
        <f t="shared" si="43"/>
        <v>-242.34778391944647</v>
      </c>
      <c r="M240" s="11"/>
    </row>
    <row r="241" spans="6:13" x14ac:dyDescent="0.25">
      <c r="F241" s="2">
        <f t="shared" si="44"/>
        <v>20</v>
      </c>
      <c r="G241" s="2">
        <f t="shared" si="45"/>
        <v>11</v>
      </c>
      <c r="H241" s="10">
        <f t="shared" si="46"/>
        <v>-887.35615656627056</v>
      </c>
      <c r="I241" s="11">
        <f t="shared" si="40"/>
        <v>-4.4201981418525591</v>
      </c>
      <c r="J241" s="10">
        <f t="shared" si="41"/>
        <v>-882.935958424418</v>
      </c>
      <c r="K241" s="10">
        <f t="shared" si="42"/>
        <v>885.14329831660552</v>
      </c>
      <c r="L241" s="11">
        <f t="shared" si="43"/>
        <v>-242.34778391944647</v>
      </c>
      <c r="M241" s="11"/>
    </row>
    <row r="242" spans="6:13" x14ac:dyDescent="0.25">
      <c r="F242" s="2">
        <f t="shared" si="44"/>
        <v>20</v>
      </c>
      <c r="G242" s="2">
        <f t="shared" si="45"/>
        <v>12</v>
      </c>
      <c r="H242" s="10">
        <f t="shared" si="46"/>
        <v>-887.35615656627056</v>
      </c>
      <c r="I242" s="11">
        <f t="shared" si="40"/>
        <v>-2.212858245791514</v>
      </c>
      <c r="J242" s="10">
        <f t="shared" si="41"/>
        <v>-885.14329832047906</v>
      </c>
      <c r="K242" s="10">
        <f t="shared" si="42"/>
        <v>-3.8735379348509014E-9</v>
      </c>
      <c r="L242" s="11">
        <f t="shared" si="43"/>
        <v>-242.34778391944647</v>
      </c>
      <c r="M242" s="1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0B87-D60F-4DB1-A3CB-84003873F4FE}">
  <dimension ref="B1:AG139"/>
  <sheetViews>
    <sheetView topLeftCell="J1" workbookViewId="0">
      <pane ySplit="1" topLeftCell="A101" activePane="bottomLeft" state="frozen"/>
      <selection pane="bottomLeft" activeCell="S124" sqref="S124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7" max="17" width="10.42578125" customWidth="1"/>
    <col min="19" max="20" width="19.140625" customWidth="1"/>
    <col min="22" max="22" width="12.85546875" customWidth="1"/>
    <col min="28" max="28" width="11.28515625" bestFit="1" customWidth="1"/>
  </cols>
  <sheetData>
    <row r="1" spans="2:33" x14ac:dyDescent="0.25">
      <c r="F1" t="s">
        <v>0</v>
      </c>
      <c r="G1" t="s">
        <v>17</v>
      </c>
      <c r="H1" t="s">
        <v>4</v>
      </c>
      <c r="I1" t="s">
        <v>5</v>
      </c>
      <c r="J1" t="s">
        <v>6</v>
      </c>
      <c r="K1" t="s">
        <v>33</v>
      </c>
      <c r="L1" t="s">
        <v>61</v>
      </c>
      <c r="M1" t="s">
        <v>40</v>
      </c>
      <c r="N1" t="s">
        <v>50</v>
      </c>
      <c r="O1" t="s">
        <v>55</v>
      </c>
      <c r="Q1" t="s">
        <v>44</v>
      </c>
      <c r="R1" t="s">
        <v>40</v>
      </c>
      <c r="S1" t="s">
        <v>68</v>
      </c>
      <c r="T1" t="s">
        <v>69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2:33" x14ac:dyDescent="0.25">
      <c r="F2">
        <v>0</v>
      </c>
      <c r="G2">
        <v>0</v>
      </c>
      <c r="K2" s="16">
        <f>$C$11</f>
        <v>160000</v>
      </c>
      <c r="Q2" s="16">
        <f>$C$10</f>
        <v>100000</v>
      </c>
      <c r="U2" s="16">
        <f>-$C$10</f>
        <v>-100000</v>
      </c>
      <c r="V2" s="17">
        <f>U2</f>
        <v>-100000</v>
      </c>
    </row>
    <row r="3" spans="2:33" x14ac:dyDescent="0.25">
      <c r="F3" s="2">
        <v>1</v>
      </c>
      <c r="G3" s="2">
        <v>1</v>
      </c>
      <c r="H3" s="10">
        <f t="shared" ref="H3:H66" si="0">-$C$14</f>
        <v>-887.35615656627056</v>
      </c>
      <c r="I3" s="11">
        <f>IF($G3=1,-K2*$D$12,I2)</f>
        <v>-400</v>
      </c>
      <c r="J3" s="10">
        <f>H3-I3</f>
        <v>-487.35615656627056</v>
      </c>
      <c r="K3" s="10">
        <f>K2+J3</f>
        <v>159512.64384343373</v>
      </c>
      <c r="L3" s="11">
        <f>-($C$15/12+$C$16/12+$C$17*$C$11/12+$C$18/12*(1+$C$19)^($F3-1)+$C$20*W3/12)</f>
        <v>-438.33333333333331</v>
      </c>
      <c r="M3" s="11"/>
      <c r="N3" s="11"/>
      <c r="O3" s="11">
        <f>H3+L3+M3+N3</f>
        <v>-1325.6894898996038</v>
      </c>
      <c r="P3" s="11"/>
      <c r="Q3" s="11">
        <f>Q2*(1+$D$32)+S3</f>
        <v>100883.10186826445</v>
      </c>
      <c r="R3" s="11">
        <f>-$C$34*(1+$C$35)^($F3-1)</f>
        <v>-850</v>
      </c>
      <c r="S3" s="11">
        <f>R3-O3</f>
        <v>475.68948989960381</v>
      </c>
      <c r="T3" s="11">
        <f>S3+T2</f>
        <v>475.68948989960381</v>
      </c>
      <c r="U3" s="12"/>
      <c r="V3" s="10">
        <f>V2+U3</f>
        <v>-100000</v>
      </c>
      <c r="W3" s="13">
        <f>$C$4*(1+$C$21)^($F3)</f>
        <v>245999.99999999997</v>
      </c>
      <c r="X3" s="10">
        <f>K3</f>
        <v>159512.64384343373</v>
      </c>
      <c r="Y3" s="10">
        <f>W3-X3+V3</f>
        <v>-13512.643843433762</v>
      </c>
      <c r="AA3" s="2"/>
      <c r="AB3" s="2"/>
      <c r="AC3" s="4"/>
      <c r="AD3" s="2"/>
      <c r="AE3" s="2"/>
      <c r="AF3" s="2"/>
      <c r="AG3" s="2"/>
    </row>
    <row r="4" spans="2:33" x14ac:dyDescent="0.25">
      <c r="B4" t="s">
        <v>9</v>
      </c>
      <c r="C4">
        <v>240000</v>
      </c>
      <c r="F4" s="2">
        <v>1</v>
      </c>
      <c r="G4" s="2">
        <v>2</v>
      </c>
      <c r="H4" s="10">
        <f t="shared" si="0"/>
        <v>-887.35615656627056</v>
      </c>
      <c r="I4" s="11">
        <f>-K3*$D$12</f>
        <v>-398.78160960858435</v>
      </c>
      <c r="J4" s="10">
        <f>H4-I4</f>
        <v>-488.57454695768621</v>
      </c>
      <c r="K4" s="10">
        <f t="shared" ref="K4:K62" si="1">K3+J4</f>
        <v>159024.06929647605</v>
      </c>
      <c r="L4" s="11">
        <f>-($C$15/12+$C$17*$C$11/12+$C$18/12*(1+$C$19)^($F4-1)+$C$20*W4/12)</f>
        <v>-438.33333333333331</v>
      </c>
      <c r="M4" s="11"/>
      <c r="N4" s="11"/>
      <c r="O4" s="11">
        <f>H4+L4+M4+N4</f>
        <v>-1325.6894898996038</v>
      </c>
      <c r="P4" s="11"/>
      <c r="Q4" s="11">
        <f t="shared" ref="Q4:Q67" si="2">Q3*(1+$D$32)+S4</f>
        <v>101769.80160285378</v>
      </c>
      <c r="R4" s="11">
        <f t="shared" ref="R4:R67" si="3">-$C$34*(1+$C$35)^($F4-1)</f>
        <v>-850</v>
      </c>
      <c r="S4" s="11">
        <f t="shared" ref="S4:S67" si="4">R4-O4</f>
        <v>475.68948989960381</v>
      </c>
      <c r="T4" s="11">
        <f>S4+T3</f>
        <v>951.37897979920763</v>
      </c>
      <c r="U4" s="12"/>
      <c r="V4" s="10">
        <f>V3+U4</f>
        <v>-100000</v>
      </c>
      <c r="W4" s="13">
        <f t="shared" ref="W4:W67" si="5">$C$4*(1+$C$21)^($F4)</f>
        <v>245999.99999999997</v>
      </c>
      <c r="X4" s="10">
        <f>K4</f>
        <v>159024.06929647605</v>
      </c>
      <c r="Y4" s="10">
        <f t="shared" ref="Y4:Y18" si="6">W4-X4+V4</f>
        <v>-13024.069296476082</v>
      </c>
      <c r="AA4" s="2"/>
      <c r="AB4" s="2"/>
      <c r="AC4" s="4"/>
      <c r="AD4" s="2"/>
      <c r="AE4" s="2"/>
      <c r="AF4" s="2"/>
      <c r="AG4" s="2"/>
    </row>
    <row r="5" spans="2:33" x14ac:dyDescent="0.25">
      <c r="B5" t="s">
        <v>10</v>
      </c>
      <c r="C5" s="7">
        <v>7.4999999999999997E-2</v>
      </c>
      <c r="F5" s="2">
        <v>1</v>
      </c>
      <c r="G5" s="2">
        <v>3</v>
      </c>
      <c r="H5" s="10">
        <f t="shared" si="0"/>
        <v>-887.35615656627056</v>
      </c>
      <c r="I5" s="11">
        <f>-K4*$D$12</f>
        <v>-397.56017324119011</v>
      </c>
      <c r="J5" s="10">
        <f t="shared" ref="J5:J62" si="7">H5-I5</f>
        <v>-489.79598332508044</v>
      </c>
      <c r="K5" s="10">
        <f t="shared" si="1"/>
        <v>158534.27331315097</v>
      </c>
      <c r="L5" s="11">
        <f>-($C$15/12+$C$17*$C$11/12+$C$18/12*(1+$C$19)^($F5-1)+$C$20*W5/12)</f>
        <v>-438.33333333333331</v>
      </c>
      <c r="M5" s="11"/>
      <c r="N5" s="11"/>
      <c r="O5" s="11">
        <f>H5+L5+M5+N5</f>
        <v>-1325.6894898996038</v>
      </c>
      <c r="P5" s="11"/>
      <c r="Q5" s="11">
        <f t="shared" si="2"/>
        <v>102660.11386192075</v>
      </c>
      <c r="R5" s="11">
        <f t="shared" si="3"/>
        <v>-850</v>
      </c>
      <c r="S5" s="11">
        <f t="shared" si="4"/>
        <v>475.68948989960381</v>
      </c>
      <c r="T5" s="11">
        <f t="shared" ref="T5:T68" si="8">S5+T4</f>
        <v>1427.0684696988114</v>
      </c>
      <c r="U5" s="12"/>
      <c r="V5" s="10">
        <f>V4+U5</f>
        <v>-100000</v>
      </c>
      <c r="W5" s="13">
        <f t="shared" si="5"/>
        <v>245999.99999999997</v>
      </c>
      <c r="X5" s="10">
        <f>K5</f>
        <v>158534.27331315097</v>
      </c>
      <c r="Y5" s="10">
        <f t="shared" si="6"/>
        <v>-12534.273313151003</v>
      </c>
      <c r="AA5" s="2"/>
      <c r="AB5" s="2"/>
      <c r="AC5" s="4"/>
      <c r="AD5" s="2"/>
      <c r="AE5" s="2"/>
      <c r="AF5" s="2"/>
      <c r="AG5" s="2"/>
    </row>
    <row r="6" spans="2:33" x14ac:dyDescent="0.25">
      <c r="B6" t="s">
        <v>11</v>
      </c>
      <c r="C6" s="7">
        <v>0</v>
      </c>
      <c r="F6" s="2">
        <v>1</v>
      </c>
      <c r="G6" s="2">
        <v>4</v>
      </c>
      <c r="H6" s="10">
        <f t="shared" si="0"/>
        <v>-887.35615656627056</v>
      </c>
      <c r="I6" s="11">
        <f t="shared" ref="I6:I62" si="9">-K5*$D$12</f>
        <v>-396.33568328287743</v>
      </c>
      <c r="J6" s="10">
        <f t="shared" si="7"/>
        <v>-491.02047328339313</v>
      </c>
      <c r="K6" s="10">
        <f t="shared" si="1"/>
        <v>158043.25283986758</v>
      </c>
      <c r="L6" s="11">
        <f>-($C$15/12+$C$17*$C$11/12+$C$18/12*(1+$C$19)^($F6-1)+$C$20*W6/12)</f>
        <v>-438.33333333333331</v>
      </c>
      <c r="M6" s="11"/>
      <c r="N6" s="11"/>
      <c r="O6" s="11">
        <f>H6+L6+M6+N6</f>
        <v>-1325.6894898996038</v>
      </c>
      <c r="P6" s="11"/>
      <c r="Q6" s="11">
        <f t="shared" si="2"/>
        <v>103554.05336333725</v>
      </c>
      <c r="R6" s="11">
        <f t="shared" si="3"/>
        <v>-850</v>
      </c>
      <c r="S6" s="11">
        <f t="shared" si="4"/>
        <v>475.68948989960381</v>
      </c>
      <c r="T6" s="11">
        <f t="shared" si="8"/>
        <v>1902.7579595984153</v>
      </c>
      <c r="U6" s="12"/>
      <c r="V6" s="10">
        <f t="shared" ref="V6:V61" si="10">V5+U6</f>
        <v>-100000</v>
      </c>
      <c r="W6" s="13">
        <f t="shared" si="5"/>
        <v>245999.99999999997</v>
      </c>
      <c r="X6" s="10">
        <f>K6</f>
        <v>158043.25283986758</v>
      </c>
      <c r="Y6" s="10">
        <f t="shared" si="6"/>
        <v>-12043.252839867608</v>
      </c>
      <c r="AA6" s="2"/>
      <c r="AB6" s="2"/>
      <c r="AC6" s="4"/>
      <c r="AD6" s="2"/>
      <c r="AE6" s="2"/>
      <c r="AF6" s="2"/>
      <c r="AG6" s="2"/>
    </row>
    <row r="7" spans="2:33" x14ac:dyDescent="0.25">
      <c r="B7" t="s">
        <v>12</v>
      </c>
      <c r="C7">
        <v>2000</v>
      </c>
      <c r="F7" s="2">
        <v>1</v>
      </c>
      <c r="G7" s="2">
        <v>5</v>
      </c>
      <c r="H7" s="10">
        <f t="shared" si="0"/>
        <v>-887.35615656627056</v>
      </c>
      <c r="I7" s="11">
        <f t="shared" si="9"/>
        <v>-395.10813209966898</v>
      </c>
      <c r="J7" s="10">
        <f t="shared" si="7"/>
        <v>-492.24802446660158</v>
      </c>
      <c r="K7" s="10">
        <f t="shared" si="1"/>
        <v>157551.00481540099</v>
      </c>
      <c r="L7" s="11">
        <f>-($C$15/12+$C$17*$C$11/12+$C$18/12*(1+$C$19)^($F7-1)+$C$20*W7/12)</f>
        <v>-438.33333333333331</v>
      </c>
      <c r="M7" s="11"/>
      <c r="N7" s="11"/>
      <c r="O7" s="11">
        <f>H7+L7+M7+N7</f>
        <v>-1325.6894898996038</v>
      </c>
      <c r="P7" s="11"/>
      <c r="Q7" s="11">
        <f t="shared" si="2"/>
        <v>104451.63488493762</v>
      </c>
      <c r="R7" s="11">
        <f t="shared" si="3"/>
        <v>-850</v>
      </c>
      <c r="S7" s="11">
        <f t="shared" si="4"/>
        <v>475.68948989960381</v>
      </c>
      <c r="T7" s="11">
        <f t="shared" si="8"/>
        <v>2378.4474494980191</v>
      </c>
      <c r="U7" s="12"/>
      <c r="V7" s="10">
        <f t="shared" si="10"/>
        <v>-100000</v>
      </c>
      <c r="W7" s="13">
        <f t="shared" si="5"/>
        <v>245999.99999999997</v>
      </c>
      <c r="X7" s="10">
        <f>K7</f>
        <v>157551.00481540099</v>
      </c>
      <c r="Y7" s="10">
        <f t="shared" si="6"/>
        <v>-11551.004815401015</v>
      </c>
      <c r="AA7" s="2"/>
      <c r="AB7" s="2"/>
      <c r="AC7" s="4"/>
      <c r="AD7" s="2"/>
      <c r="AE7" s="2"/>
      <c r="AF7" s="2"/>
      <c r="AG7" s="2"/>
    </row>
    <row r="8" spans="2:33" x14ac:dyDescent="0.25">
      <c r="B8" t="s">
        <v>13</v>
      </c>
      <c r="C8">
        <v>0</v>
      </c>
      <c r="F8" s="2">
        <v>1</v>
      </c>
      <c r="G8" s="2">
        <v>6</v>
      </c>
      <c r="H8" s="10">
        <f t="shared" si="0"/>
        <v>-887.35615656627056</v>
      </c>
      <c r="I8" s="11">
        <f t="shared" si="9"/>
        <v>-393.87751203850246</v>
      </c>
      <c r="J8" s="10">
        <f t="shared" si="7"/>
        <v>-493.4786445277681</v>
      </c>
      <c r="K8" s="10">
        <f t="shared" si="1"/>
        <v>157057.52617087323</v>
      </c>
      <c r="L8" s="11">
        <f>-($C$15/12+$C$17*$C$11/12+$C$18/12*(1+$C$19)^($F8-1)+$C$20*W8/12)</f>
        <v>-438.33333333333331</v>
      </c>
      <c r="M8" s="11"/>
      <c r="N8" s="11"/>
      <c r="O8" s="11">
        <f>H8+L8+M8+N8</f>
        <v>-1325.6894898996038</v>
      </c>
      <c r="P8" s="11"/>
      <c r="Q8" s="11">
        <f t="shared" si="2"/>
        <v>105352.87326476291</v>
      </c>
      <c r="R8" s="11">
        <f t="shared" si="3"/>
        <v>-850</v>
      </c>
      <c r="S8" s="11">
        <f t="shared" si="4"/>
        <v>475.68948989960381</v>
      </c>
      <c r="T8" s="11">
        <f t="shared" si="8"/>
        <v>2854.1369393976229</v>
      </c>
      <c r="U8" s="12"/>
      <c r="V8" s="10">
        <f t="shared" si="10"/>
        <v>-100000</v>
      </c>
      <c r="W8" s="13">
        <f t="shared" si="5"/>
        <v>245999.99999999997</v>
      </c>
      <c r="X8" s="10">
        <f>K8</f>
        <v>157057.52617087323</v>
      </c>
      <c r="Y8" s="10">
        <f t="shared" si="6"/>
        <v>-11057.526170873258</v>
      </c>
      <c r="AA8" s="2"/>
      <c r="AB8" s="2"/>
      <c r="AC8" s="4"/>
      <c r="AD8" s="2"/>
      <c r="AE8" s="2"/>
      <c r="AF8" s="2"/>
      <c r="AG8" s="2"/>
    </row>
    <row r="9" spans="2:33" x14ac:dyDescent="0.25">
      <c r="B9" t="s">
        <v>14</v>
      </c>
      <c r="C9">
        <f>C4+(C5+C6)*C4+C7+C8</f>
        <v>260000</v>
      </c>
      <c r="F9" s="2">
        <v>1</v>
      </c>
      <c r="G9" s="2">
        <v>7</v>
      </c>
      <c r="H9" s="10">
        <f t="shared" si="0"/>
        <v>-887.35615656627056</v>
      </c>
      <c r="I9" s="11">
        <f t="shared" si="9"/>
        <v>-392.64381542718309</v>
      </c>
      <c r="J9" s="10">
        <f t="shared" si="7"/>
        <v>-494.71234113908747</v>
      </c>
      <c r="K9" s="10">
        <f t="shared" si="1"/>
        <v>156562.81382973414</v>
      </c>
      <c r="L9" s="11">
        <f>-($C$15/12+$C$17*$C$11/12+$C$18/12*(1+$C$19)^($F9-1)+$C$20*W9/12)</f>
        <v>-438.33333333333331</v>
      </c>
      <c r="M9" s="11"/>
      <c r="N9" s="11"/>
      <c r="O9" s="11">
        <f>H9+L9+M9+N9</f>
        <v>-1325.6894898996038</v>
      </c>
      <c r="P9" s="11"/>
      <c r="Q9" s="11">
        <f t="shared" si="2"/>
        <v>106257.78340130618</v>
      </c>
      <c r="R9" s="11">
        <f t="shared" si="3"/>
        <v>-850</v>
      </c>
      <c r="S9" s="11">
        <f t="shared" si="4"/>
        <v>475.68948989960381</v>
      </c>
      <c r="T9" s="11">
        <f t="shared" si="8"/>
        <v>3329.8264292972267</v>
      </c>
      <c r="U9" s="12"/>
      <c r="V9" s="10">
        <f t="shared" si="10"/>
        <v>-100000</v>
      </c>
      <c r="W9" s="13">
        <f t="shared" si="5"/>
        <v>245999.99999999997</v>
      </c>
      <c r="X9" s="10">
        <f>K9</f>
        <v>156562.81382973414</v>
      </c>
      <c r="Y9" s="10">
        <f t="shared" si="6"/>
        <v>-10562.813829734165</v>
      </c>
      <c r="AA9" s="2"/>
      <c r="AB9" s="2"/>
      <c r="AC9" s="4"/>
      <c r="AD9" s="2"/>
      <c r="AE9" s="2"/>
      <c r="AF9" s="2"/>
      <c r="AG9" s="2"/>
    </row>
    <row r="10" spans="2:33" x14ac:dyDescent="0.25">
      <c r="B10" t="s">
        <v>15</v>
      </c>
      <c r="C10">
        <v>100000</v>
      </c>
      <c r="F10" s="2">
        <v>1</v>
      </c>
      <c r="G10" s="2">
        <v>8</v>
      </c>
      <c r="H10" s="10">
        <f t="shared" si="0"/>
        <v>-887.35615656627056</v>
      </c>
      <c r="I10" s="11">
        <f t="shared" si="9"/>
        <v>-391.40703457433534</v>
      </c>
      <c r="J10" s="10">
        <f t="shared" si="7"/>
        <v>-495.94912199193521</v>
      </c>
      <c r="K10" s="10">
        <f t="shared" si="1"/>
        <v>156066.86470774221</v>
      </c>
      <c r="L10" s="11">
        <f>-($C$15/12+$C$17*$C$11/12+$C$18/12*(1+$C$19)^($F10-1)+$C$20*W10/12)</f>
        <v>-438.33333333333331</v>
      </c>
      <c r="M10" s="11"/>
      <c r="N10" s="11"/>
      <c r="O10" s="11">
        <f>H10+L10+M10+N10</f>
        <v>-1325.6894898996038</v>
      </c>
      <c r="P10" s="11"/>
      <c r="Q10" s="11">
        <f t="shared" si="2"/>
        <v>107166.38025375881</v>
      </c>
      <c r="R10" s="11">
        <f t="shared" si="3"/>
        <v>-850</v>
      </c>
      <c r="S10" s="11">
        <f t="shared" si="4"/>
        <v>475.68948989960381</v>
      </c>
      <c r="T10" s="11">
        <f t="shared" si="8"/>
        <v>3805.5159191968305</v>
      </c>
      <c r="U10" s="12"/>
      <c r="V10" s="10">
        <f t="shared" si="10"/>
        <v>-100000</v>
      </c>
      <c r="W10" s="13">
        <f t="shared" si="5"/>
        <v>245999.99999999997</v>
      </c>
      <c r="X10" s="10">
        <f>K10</f>
        <v>156066.86470774221</v>
      </c>
      <c r="Y10" s="10">
        <f t="shared" si="6"/>
        <v>-10066.864707742236</v>
      </c>
      <c r="AA10" s="2"/>
      <c r="AB10" s="2"/>
      <c r="AC10" s="4"/>
      <c r="AD10" s="2"/>
      <c r="AE10" s="2"/>
      <c r="AF10" s="2"/>
      <c r="AG10" s="2"/>
    </row>
    <row r="11" spans="2:33" x14ac:dyDescent="0.25">
      <c r="B11" t="s">
        <v>16</v>
      </c>
      <c r="C11">
        <f>C9-C10</f>
        <v>160000</v>
      </c>
      <c r="F11" s="2">
        <v>1</v>
      </c>
      <c r="G11" s="2">
        <v>9</v>
      </c>
      <c r="H11" s="10">
        <f t="shared" si="0"/>
        <v>-887.35615656627056</v>
      </c>
      <c r="I11" s="11">
        <f t="shared" si="9"/>
        <v>-390.16716176935552</v>
      </c>
      <c r="J11" s="10">
        <f t="shared" si="7"/>
        <v>-497.18899479691504</v>
      </c>
      <c r="K11" s="10">
        <f t="shared" si="1"/>
        <v>155569.67571294529</v>
      </c>
      <c r="L11" s="11">
        <f>-($C$15/12+$C$17*$C$11/12+$C$18/12*(1+$C$19)^($F11-1)+$C$20*W11/12)</f>
        <v>-438.33333333333331</v>
      </c>
      <c r="M11" s="11"/>
      <c r="N11" s="11"/>
      <c r="O11" s="11">
        <f>H11+L11+M11+N11</f>
        <v>-1325.6894898996038</v>
      </c>
      <c r="P11" s="11"/>
      <c r="Q11" s="11">
        <f t="shared" si="2"/>
        <v>108078.67884225775</v>
      </c>
      <c r="R11" s="11">
        <f t="shared" si="3"/>
        <v>-850</v>
      </c>
      <c r="S11" s="11">
        <f t="shared" si="4"/>
        <v>475.68948989960381</v>
      </c>
      <c r="T11" s="11">
        <f t="shared" si="8"/>
        <v>4281.2054090964339</v>
      </c>
      <c r="U11" s="12"/>
      <c r="V11" s="10">
        <f t="shared" si="10"/>
        <v>-100000</v>
      </c>
      <c r="W11" s="13">
        <f t="shared" si="5"/>
        <v>245999.99999999997</v>
      </c>
      <c r="X11" s="10">
        <f>K11</f>
        <v>155569.67571294529</v>
      </c>
      <c r="Y11" s="10">
        <f t="shared" si="6"/>
        <v>-9569.6757129453181</v>
      </c>
      <c r="AA11" s="2"/>
      <c r="AB11" s="2"/>
      <c r="AC11" s="4"/>
      <c r="AD11" s="2"/>
      <c r="AE11" s="2"/>
      <c r="AF11" s="2"/>
      <c r="AG11" s="2"/>
    </row>
    <row r="12" spans="2:33" x14ac:dyDescent="0.25">
      <c r="B12" t="s">
        <v>7</v>
      </c>
      <c r="C12" s="7">
        <v>0.03</v>
      </c>
      <c r="D12" s="9">
        <f>C12/12</f>
        <v>2.5000000000000001E-3</v>
      </c>
      <c r="E12" s="9"/>
      <c r="F12" s="2">
        <v>1</v>
      </c>
      <c r="G12" s="2">
        <v>10</v>
      </c>
      <c r="H12" s="10">
        <f t="shared" si="0"/>
        <v>-887.35615656627056</v>
      </c>
      <c r="I12" s="11">
        <f t="shared" si="9"/>
        <v>-388.92418928236322</v>
      </c>
      <c r="J12" s="10">
        <f t="shared" si="7"/>
        <v>-498.43196728390734</v>
      </c>
      <c r="K12" s="10">
        <f t="shared" si="1"/>
        <v>155071.24374566137</v>
      </c>
      <c r="L12" s="11">
        <f>-($C$15/12+$C$17*$C$11/12+$C$18/12*(1+$C$19)^($F12-1)+$C$20*W12/12)</f>
        <v>-438.33333333333331</v>
      </c>
      <c r="M12" s="11"/>
      <c r="N12" s="11"/>
      <c r="O12" s="11">
        <f>H12+L12+M12+N12</f>
        <v>-1325.6894898996038</v>
      </c>
      <c r="P12" s="11"/>
      <c r="Q12" s="11">
        <f t="shared" si="2"/>
        <v>108994.69424813389</v>
      </c>
      <c r="R12" s="11">
        <f t="shared" si="3"/>
        <v>-850</v>
      </c>
      <c r="S12" s="11">
        <f t="shared" si="4"/>
        <v>475.68948989960381</v>
      </c>
      <c r="T12" s="11">
        <f t="shared" si="8"/>
        <v>4756.8948989960372</v>
      </c>
      <c r="U12" s="12"/>
      <c r="V12" s="10">
        <f t="shared" si="10"/>
        <v>-100000</v>
      </c>
      <c r="W12" s="13">
        <f t="shared" si="5"/>
        <v>245999.99999999997</v>
      </c>
      <c r="X12" s="10">
        <f>K12</f>
        <v>155071.24374566137</v>
      </c>
      <c r="Y12" s="10">
        <f t="shared" si="6"/>
        <v>-9071.2437456613989</v>
      </c>
      <c r="AA12" s="2"/>
      <c r="AB12" s="2"/>
      <c r="AC12" s="4"/>
      <c r="AD12" s="2"/>
      <c r="AE12" s="2"/>
      <c r="AF12" s="2"/>
      <c r="AG12" s="2"/>
    </row>
    <row r="13" spans="2:33" x14ac:dyDescent="0.25">
      <c r="B13" t="s">
        <v>8</v>
      </c>
      <c r="C13">
        <v>20</v>
      </c>
      <c r="D13" s="8">
        <f>C13*12</f>
        <v>240</v>
      </c>
      <c r="E13" s="8"/>
      <c r="F13" s="2">
        <v>1</v>
      </c>
      <c r="G13" s="2">
        <v>11</v>
      </c>
      <c r="H13" s="10">
        <f t="shared" si="0"/>
        <v>-887.35615656627056</v>
      </c>
      <c r="I13" s="11">
        <f t="shared" si="9"/>
        <v>-387.67810936415344</v>
      </c>
      <c r="J13" s="10">
        <f t="shared" si="7"/>
        <v>-499.67804720211711</v>
      </c>
      <c r="K13" s="10">
        <f t="shared" si="1"/>
        <v>154571.56569845925</v>
      </c>
      <c r="L13" s="11">
        <f>-($C$15/12+$C$17*$C$11/12+$C$18/12*(1+$C$19)^($F13-1)+$C$20*W13/12)</f>
        <v>-438.33333333333331</v>
      </c>
      <c r="M13" s="11"/>
      <c r="N13" s="11"/>
      <c r="O13" s="11">
        <f>H13+L13+M13+N13</f>
        <v>-1325.6894898996038</v>
      </c>
      <c r="P13" s="11"/>
      <c r="Q13" s="11">
        <f t="shared" si="2"/>
        <v>109914.4416141613</v>
      </c>
      <c r="R13" s="11">
        <f t="shared" si="3"/>
        <v>-850</v>
      </c>
      <c r="S13" s="11">
        <f t="shared" si="4"/>
        <v>475.68948989960381</v>
      </c>
      <c r="T13" s="11">
        <f t="shared" si="8"/>
        <v>5232.5843888956406</v>
      </c>
      <c r="U13" s="12"/>
      <c r="V13" s="10">
        <f t="shared" si="10"/>
        <v>-100000</v>
      </c>
      <c r="W13" s="13">
        <f t="shared" si="5"/>
        <v>245999.99999999997</v>
      </c>
      <c r="X13" s="10">
        <f>K13</f>
        <v>154571.56569845925</v>
      </c>
      <c r="Y13" s="10">
        <f t="shared" si="6"/>
        <v>-8571.5656984592788</v>
      </c>
      <c r="AA13" s="2"/>
      <c r="AB13" s="2"/>
      <c r="AC13" s="4"/>
      <c r="AD13" s="2"/>
      <c r="AE13" s="2"/>
      <c r="AF13" s="2"/>
      <c r="AG13" s="2"/>
    </row>
    <row r="14" spans="2:33" x14ac:dyDescent="0.25">
      <c r="B14" t="s">
        <v>32</v>
      </c>
      <c r="C14" s="3">
        <f>C11*(D12*(1+D12)^D13)/((1+D12)^D13-1)</f>
        <v>887.35615656627056</v>
      </c>
      <c r="F14" s="2">
        <v>1</v>
      </c>
      <c r="G14" s="2">
        <v>12</v>
      </c>
      <c r="H14" s="10">
        <f t="shared" si="0"/>
        <v>-887.35615656627056</v>
      </c>
      <c r="I14" s="11">
        <f t="shared" si="9"/>
        <v>-386.42891424614811</v>
      </c>
      <c r="J14" s="10">
        <f t="shared" si="7"/>
        <v>-500.92724232012245</v>
      </c>
      <c r="K14" s="10">
        <f t="shared" si="1"/>
        <v>154070.63845613913</v>
      </c>
      <c r="L14" s="11">
        <f>-($C$15/12+$C$17*$C$11/12+$C$18/12*(1+$C$19)^($F14-1)+$C$20*W14/12)</f>
        <v>-438.33333333333331</v>
      </c>
      <c r="M14" s="11"/>
      <c r="N14" s="11"/>
      <c r="O14" s="11">
        <f>H14+L14+M14+N14</f>
        <v>-1325.6894898996038</v>
      </c>
      <c r="P14" s="11"/>
      <c r="Q14" s="11">
        <f t="shared" si="2"/>
        <v>110837.93614480759</v>
      </c>
      <c r="R14" s="11">
        <f t="shared" si="3"/>
        <v>-850</v>
      </c>
      <c r="S14" s="11">
        <f t="shared" si="4"/>
        <v>475.68948989960381</v>
      </c>
      <c r="T14" s="11">
        <f t="shared" si="8"/>
        <v>5708.2738787952439</v>
      </c>
      <c r="U14" s="12"/>
      <c r="V14" s="10">
        <f t="shared" si="10"/>
        <v>-100000</v>
      </c>
      <c r="W14" s="13">
        <f t="shared" si="5"/>
        <v>245999.99999999997</v>
      </c>
      <c r="X14" s="10">
        <f>K14</f>
        <v>154070.63845613913</v>
      </c>
      <c r="Y14" s="10">
        <f t="shared" si="6"/>
        <v>-8070.6384561391606</v>
      </c>
      <c r="AA14" s="2"/>
      <c r="AB14" s="2"/>
      <c r="AC14" s="4"/>
      <c r="AD14" s="2"/>
      <c r="AE14" s="2"/>
      <c r="AF14" s="2"/>
      <c r="AG14" s="2"/>
    </row>
    <row r="15" spans="2:33" x14ac:dyDescent="0.25">
      <c r="B15" t="s">
        <v>23</v>
      </c>
      <c r="C15" s="2">
        <v>1200</v>
      </c>
      <c r="F15" s="2">
        <f>F3+1</f>
        <v>2</v>
      </c>
      <c r="G15" s="2">
        <f>G3</f>
        <v>1</v>
      </c>
      <c r="H15" s="10">
        <f t="shared" si="0"/>
        <v>-887.35615656627056</v>
      </c>
      <c r="I15" s="11">
        <f t="shared" si="9"/>
        <v>-385.17659614034784</v>
      </c>
      <c r="J15" s="10">
        <f t="shared" si="7"/>
        <v>-502.17956042592272</v>
      </c>
      <c r="K15" s="10">
        <f t="shared" si="1"/>
        <v>153568.45889571321</v>
      </c>
      <c r="L15" s="11">
        <f>-($C$15/12+$C$17*$C$11/12+$C$18/12*(1+$C$19)^($F15-1)+$C$20*W15/12)</f>
        <v>-445.45833333333331</v>
      </c>
      <c r="M15" s="11"/>
      <c r="N15" s="11"/>
      <c r="O15" s="11">
        <f>H15+L15+M15+N15</f>
        <v>-1332.8144898996038</v>
      </c>
      <c r="P15" s="11"/>
      <c r="Q15" s="11">
        <f t="shared" si="2"/>
        <v>111755.31810648527</v>
      </c>
      <c r="R15" s="11">
        <f t="shared" si="3"/>
        <v>-867</v>
      </c>
      <c r="S15" s="11">
        <f t="shared" si="4"/>
        <v>465.81448989960381</v>
      </c>
      <c r="T15" s="11">
        <f t="shared" si="8"/>
        <v>6174.0883686948473</v>
      </c>
      <c r="U15" s="12"/>
      <c r="V15" s="10">
        <f t="shared" si="10"/>
        <v>-100000</v>
      </c>
      <c r="W15" s="13">
        <f t="shared" si="5"/>
        <v>252149.99999999997</v>
      </c>
      <c r="X15" s="10">
        <f>K15</f>
        <v>153568.45889571321</v>
      </c>
      <c r="Y15" s="10">
        <f t="shared" si="6"/>
        <v>-1418.4588957132364</v>
      </c>
      <c r="AA15" s="2"/>
      <c r="AB15" s="2"/>
      <c r="AC15" s="4"/>
      <c r="AD15" s="2"/>
      <c r="AE15" s="2"/>
      <c r="AF15" s="2"/>
      <c r="AG15" s="2"/>
    </row>
    <row r="16" spans="2:33" x14ac:dyDescent="0.25">
      <c r="B16" t="s">
        <v>24</v>
      </c>
      <c r="C16" s="2">
        <v>0</v>
      </c>
      <c r="F16" s="2">
        <f>F4+1</f>
        <v>2</v>
      </c>
      <c r="G16" s="2">
        <f>G4</f>
        <v>2</v>
      </c>
      <c r="H16" s="10">
        <f t="shared" si="0"/>
        <v>-887.35615656627056</v>
      </c>
      <c r="I16" s="11">
        <f t="shared" si="9"/>
        <v>-383.92114723928302</v>
      </c>
      <c r="J16" s="10">
        <f t="shared" si="7"/>
        <v>-503.43500932698754</v>
      </c>
      <c r="K16" s="10">
        <f t="shared" si="1"/>
        <v>153065.02388638622</v>
      </c>
      <c r="L16" s="11">
        <f>-($C$15/12+$C$17*$C$11/12+$C$18/12*(1+$C$19)^($F16-1)+$C$20*W16/12)</f>
        <v>-445.45833333333331</v>
      </c>
      <c r="M16" s="11"/>
      <c r="N16" s="11"/>
      <c r="O16" s="11">
        <f>H16+L16+M16+N16</f>
        <v>-1332.8144898996038</v>
      </c>
      <c r="P16" s="11"/>
      <c r="Q16" s="11">
        <f t="shared" si="2"/>
        <v>112676.4375958317</v>
      </c>
      <c r="R16" s="11">
        <f t="shared" si="3"/>
        <v>-867</v>
      </c>
      <c r="S16" s="11">
        <f t="shared" si="4"/>
        <v>465.81448989960381</v>
      </c>
      <c r="T16" s="11">
        <f t="shared" si="8"/>
        <v>6639.9028585944507</v>
      </c>
      <c r="U16" s="12"/>
      <c r="V16" s="10">
        <f t="shared" si="10"/>
        <v>-100000</v>
      </c>
      <c r="W16" s="13">
        <f t="shared" si="5"/>
        <v>252149.99999999997</v>
      </c>
      <c r="X16" s="10">
        <f>K16</f>
        <v>153065.02388638622</v>
      </c>
      <c r="Y16" s="10">
        <f t="shared" si="6"/>
        <v>-915.02388638624689</v>
      </c>
      <c r="AA16" s="2"/>
      <c r="AB16" s="2"/>
      <c r="AC16" s="4"/>
      <c r="AD16" s="2"/>
      <c r="AE16" s="2"/>
      <c r="AF16" s="2"/>
      <c r="AG16" s="2"/>
    </row>
    <row r="17" spans="2:33" x14ac:dyDescent="0.25">
      <c r="B17" t="s">
        <v>25</v>
      </c>
      <c r="C17" s="7">
        <v>2.5000000000000001E-3</v>
      </c>
      <c r="F17" s="2">
        <f t="shared" ref="F17:F80" si="11">F5+1</f>
        <v>2</v>
      </c>
      <c r="G17" s="2">
        <f t="shared" ref="G17:G80" si="12">G5</f>
        <v>3</v>
      </c>
      <c r="H17" s="10">
        <f t="shared" si="0"/>
        <v>-887.35615656627056</v>
      </c>
      <c r="I17" s="11">
        <f t="shared" si="9"/>
        <v>-382.66255971596553</v>
      </c>
      <c r="J17" s="10">
        <f t="shared" si="7"/>
        <v>-504.69359685030503</v>
      </c>
      <c r="K17" s="10">
        <f t="shared" si="1"/>
        <v>152560.33028953592</v>
      </c>
      <c r="L17" s="11">
        <f>-($C$15/12+$C$17*$C$11/12+$C$18/12*(1+$C$19)^($F17-1)+$C$20*W17/12)</f>
        <v>-445.45833333333331</v>
      </c>
      <c r="M17" s="11"/>
      <c r="N17" s="11"/>
      <c r="O17" s="11">
        <f>H17+L17+M17+N17</f>
        <v>-1332.8144898996038</v>
      </c>
      <c r="P17" s="11"/>
      <c r="Q17" s="11">
        <f t="shared" si="2"/>
        <v>113601.30983999725</v>
      </c>
      <c r="R17" s="11">
        <f t="shared" si="3"/>
        <v>-867</v>
      </c>
      <c r="S17" s="11">
        <f t="shared" si="4"/>
        <v>465.81448989960381</v>
      </c>
      <c r="T17" s="11">
        <f t="shared" si="8"/>
        <v>7105.717348494054</v>
      </c>
      <c r="U17" s="12"/>
      <c r="V17" s="10">
        <f t="shared" si="10"/>
        <v>-100000</v>
      </c>
      <c r="W17" s="13">
        <f t="shared" si="5"/>
        <v>252149.99999999997</v>
      </c>
      <c r="X17" s="10">
        <f>K17</f>
        <v>152560.33028953592</v>
      </c>
      <c r="Y17" s="10">
        <f t="shared" si="6"/>
        <v>-410.33028953595203</v>
      </c>
      <c r="AA17" s="2"/>
      <c r="AB17" s="2"/>
      <c r="AC17" s="4"/>
      <c r="AD17" s="2"/>
      <c r="AE17" s="2"/>
      <c r="AF17" s="2"/>
      <c r="AG17" s="2"/>
    </row>
    <row r="18" spans="2:33" x14ac:dyDescent="0.25">
      <c r="B18" t="s">
        <v>26</v>
      </c>
      <c r="C18">
        <v>1200</v>
      </c>
      <c r="F18" s="2">
        <f t="shared" si="11"/>
        <v>2</v>
      </c>
      <c r="G18" s="2">
        <f t="shared" si="12"/>
        <v>4</v>
      </c>
      <c r="H18" s="10">
        <f t="shared" si="0"/>
        <v>-887.35615656627056</v>
      </c>
      <c r="I18" s="11">
        <f t="shared" si="9"/>
        <v>-381.40082572383983</v>
      </c>
      <c r="J18" s="10">
        <f t="shared" si="7"/>
        <v>-505.95533084243073</v>
      </c>
      <c r="K18" s="10">
        <f t="shared" si="1"/>
        <v>152054.37495869349</v>
      </c>
      <c r="L18" s="11">
        <f>-($C$15/12+$C$17*$C$11/12+$C$18/12*(1+$C$19)^($F18-1)+$C$20*W18/12)</f>
        <v>-445.45833333333331</v>
      </c>
      <c r="M18" s="11"/>
      <c r="N18" s="11"/>
      <c r="O18" s="11">
        <f>H18+L18+M18+N18</f>
        <v>-1332.8144898996038</v>
      </c>
      <c r="P18" s="11"/>
      <c r="Q18" s="11">
        <f t="shared" si="2"/>
        <v>114529.9501281696</v>
      </c>
      <c r="R18" s="11">
        <f t="shared" si="3"/>
        <v>-867</v>
      </c>
      <c r="S18" s="11">
        <f t="shared" si="4"/>
        <v>465.81448989960381</v>
      </c>
      <c r="T18" s="11">
        <f t="shared" si="8"/>
        <v>7571.5318383936574</v>
      </c>
      <c r="U18" s="12"/>
      <c r="V18" s="10">
        <f t="shared" si="10"/>
        <v>-100000</v>
      </c>
      <c r="W18" s="13">
        <f t="shared" si="5"/>
        <v>252149.99999999997</v>
      </c>
      <c r="X18" s="10">
        <f>K18</f>
        <v>152054.37495869349</v>
      </c>
      <c r="Y18" s="10">
        <f t="shared" si="6"/>
        <v>95.625041306484491</v>
      </c>
      <c r="AA18" s="2"/>
      <c r="AB18" s="2"/>
      <c r="AC18" s="4"/>
      <c r="AD18" s="2"/>
      <c r="AE18" s="2"/>
      <c r="AF18" s="2"/>
      <c r="AG18" s="2"/>
    </row>
    <row r="19" spans="2:33" x14ac:dyDescent="0.25">
      <c r="B19" t="s">
        <v>27</v>
      </c>
      <c r="C19" s="1">
        <v>0.02</v>
      </c>
      <c r="F19" s="2">
        <f t="shared" si="11"/>
        <v>2</v>
      </c>
      <c r="G19" s="2">
        <f t="shared" si="12"/>
        <v>5</v>
      </c>
      <c r="H19" s="10">
        <f t="shared" si="0"/>
        <v>-887.35615656627056</v>
      </c>
      <c r="I19" s="11">
        <f t="shared" si="9"/>
        <v>-380.13593739673371</v>
      </c>
      <c r="J19" s="10">
        <f t="shared" si="7"/>
        <v>-507.22021916953685</v>
      </c>
      <c r="K19" s="10">
        <f t="shared" si="1"/>
        <v>151547.15473952395</v>
      </c>
      <c r="L19" s="11">
        <f>-($C$15/12+$C$17*$C$11/12+$C$18/12*(1+$C$19)^($F19-1)+$C$20*W19/12)</f>
        <v>-445.45833333333331</v>
      </c>
      <c r="M19" s="11"/>
      <c r="N19" s="11"/>
      <c r="O19" s="11">
        <f>H19+L19+M19+N19</f>
        <v>-1332.8144898996038</v>
      </c>
      <c r="P19" s="11"/>
      <c r="Q19" s="11">
        <f t="shared" si="2"/>
        <v>115462.37381182644</v>
      </c>
      <c r="R19" s="11">
        <f t="shared" si="3"/>
        <v>-867</v>
      </c>
      <c r="S19" s="11">
        <f t="shared" si="4"/>
        <v>465.81448989960381</v>
      </c>
      <c r="T19" s="11">
        <f t="shared" si="8"/>
        <v>8037.3463282932607</v>
      </c>
      <c r="U19" s="12"/>
      <c r="V19" s="10">
        <f t="shared" si="10"/>
        <v>-100000</v>
      </c>
      <c r="W19" s="13">
        <f t="shared" si="5"/>
        <v>252149.99999999997</v>
      </c>
      <c r="X19" s="10">
        <f>K19</f>
        <v>151547.15473952395</v>
      </c>
      <c r="Y19" s="10">
        <f>W19-X19+V19</f>
        <v>602.84526047602412</v>
      </c>
      <c r="AA19" s="2"/>
      <c r="AB19" s="2"/>
      <c r="AC19" s="4"/>
      <c r="AD19" s="2"/>
      <c r="AE19" s="2"/>
      <c r="AF19" s="2"/>
      <c r="AG19" s="2"/>
    </row>
    <row r="20" spans="2:33" x14ac:dyDescent="0.25">
      <c r="B20" t="s">
        <v>28</v>
      </c>
      <c r="C20" s="1">
        <v>0.01</v>
      </c>
      <c r="F20" s="2">
        <f t="shared" si="11"/>
        <v>2</v>
      </c>
      <c r="G20" s="2">
        <f t="shared" si="12"/>
        <v>6</v>
      </c>
      <c r="H20" s="10">
        <f t="shared" si="0"/>
        <v>-887.35615656627056</v>
      </c>
      <c r="I20" s="11">
        <f t="shared" si="9"/>
        <v>-378.86788684880986</v>
      </c>
      <c r="J20" s="10">
        <f t="shared" si="7"/>
        <v>-508.4882697174607</v>
      </c>
      <c r="K20" s="10">
        <f t="shared" si="1"/>
        <v>151038.66646980649</v>
      </c>
      <c r="L20" s="11">
        <f>-($C$15/12+$C$17*$C$11/12+$C$18/12*(1+$C$19)^($F20-1)+$C$20*W20/12)</f>
        <v>-445.45833333333331</v>
      </c>
      <c r="M20" s="11"/>
      <c r="N20" s="11"/>
      <c r="O20" s="11">
        <f>H20+L20+M20+N20</f>
        <v>-1332.8144898996038</v>
      </c>
      <c r="P20" s="11"/>
      <c r="Q20" s="11">
        <f t="shared" si="2"/>
        <v>116398.59630498932</v>
      </c>
      <c r="R20" s="11">
        <f t="shared" si="3"/>
        <v>-867</v>
      </c>
      <c r="S20" s="11">
        <f t="shared" si="4"/>
        <v>465.81448989960381</v>
      </c>
      <c r="T20" s="11">
        <f t="shared" si="8"/>
        <v>8503.1608181928641</v>
      </c>
      <c r="U20" s="12"/>
      <c r="V20" s="10">
        <f t="shared" si="10"/>
        <v>-100000</v>
      </c>
      <c r="W20" s="13">
        <f t="shared" si="5"/>
        <v>252149.99999999997</v>
      </c>
      <c r="X20" s="10">
        <f>K20</f>
        <v>151038.66646980649</v>
      </c>
      <c r="Y20" s="10">
        <f t="shared" ref="Y20:Y62" si="13">W20-X20+V20</f>
        <v>1111.3335301934858</v>
      </c>
    </row>
    <row r="21" spans="2:33" x14ac:dyDescent="0.25">
      <c r="B21" t="s">
        <v>29</v>
      </c>
      <c r="C21" s="22">
        <v>2.5000000000000001E-2</v>
      </c>
      <c r="D21" s="9">
        <f>(1+C21)^(1/12)-1</f>
        <v>2.0598362698427408E-3</v>
      </c>
      <c r="F21" s="2">
        <f t="shared" si="11"/>
        <v>2</v>
      </c>
      <c r="G21" s="2">
        <f t="shared" si="12"/>
        <v>7</v>
      </c>
      <c r="H21" s="10">
        <f t="shared" si="0"/>
        <v>-887.35615656627056</v>
      </c>
      <c r="I21" s="11">
        <f t="shared" si="9"/>
        <v>-377.5966661745162</v>
      </c>
      <c r="J21" s="10">
        <f t="shared" si="7"/>
        <v>-509.75949039175435</v>
      </c>
      <c r="K21" s="10">
        <f t="shared" si="1"/>
        <v>150528.90697941472</v>
      </c>
      <c r="L21" s="11">
        <f>-($C$15/12+$C$17*$C$11/12+$C$18/12*(1+$C$19)^($F21-1)+$C$20*W21/12)</f>
        <v>-445.45833333333331</v>
      </c>
      <c r="M21" s="11"/>
      <c r="N21" s="11"/>
      <c r="O21" s="11">
        <f>H21+L21+M21+N21</f>
        <v>-1332.8144898996038</v>
      </c>
      <c r="P21" s="11"/>
      <c r="Q21" s="11">
        <f t="shared" si="2"/>
        <v>117338.63308447837</v>
      </c>
      <c r="R21" s="11">
        <f t="shared" si="3"/>
        <v>-867</v>
      </c>
      <c r="S21" s="11">
        <f t="shared" si="4"/>
        <v>465.81448989960381</v>
      </c>
      <c r="T21" s="11">
        <f t="shared" si="8"/>
        <v>8968.9753080924675</v>
      </c>
      <c r="U21" s="12"/>
      <c r="V21" s="10">
        <f t="shared" si="10"/>
        <v>-100000</v>
      </c>
      <c r="W21" s="13">
        <f t="shared" si="5"/>
        <v>252149.99999999997</v>
      </c>
      <c r="X21" s="10">
        <f>K21</f>
        <v>150528.90697941472</v>
      </c>
      <c r="Y21" s="10">
        <f t="shared" si="13"/>
        <v>1621.0930205852492</v>
      </c>
    </row>
    <row r="22" spans="2:33" x14ac:dyDescent="0.25">
      <c r="B22" t="s">
        <v>30</v>
      </c>
      <c r="C22" s="1">
        <v>0.05</v>
      </c>
      <c r="F22" s="2">
        <f t="shared" si="11"/>
        <v>2</v>
      </c>
      <c r="G22" s="2">
        <f t="shared" si="12"/>
        <v>8</v>
      </c>
      <c r="H22" s="10">
        <f t="shared" si="0"/>
        <v>-887.35615656627056</v>
      </c>
      <c r="I22" s="11">
        <f t="shared" si="9"/>
        <v>-376.32226744853682</v>
      </c>
      <c r="J22" s="10">
        <f t="shared" si="7"/>
        <v>-511.03388911773374</v>
      </c>
      <c r="K22" s="10">
        <f t="shared" si="1"/>
        <v>150017.87309029698</v>
      </c>
      <c r="L22" s="11">
        <f>-($C$15/12+$C$17*$C$11/12+$C$18/12*(1+$C$19)^($F22-1)+$C$20*W22/12)</f>
        <v>-445.45833333333331</v>
      </c>
      <c r="M22" s="11"/>
      <c r="N22" s="11"/>
      <c r="O22" s="11">
        <f>H22+L22+M22+N22</f>
        <v>-1332.8144898996038</v>
      </c>
      <c r="P22" s="11"/>
      <c r="Q22" s="11">
        <f t="shared" si="2"/>
        <v>118282.49969016823</v>
      </c>
      <c r="R22" s="11">
        <f t="shared" si="3"/>
        <v>-867</v>
      </c>
      <c r="S22" s="11">
        <f t="shared" si="4"/>
        <v>465.81448989960381</v>
      </c>
      <c r="T22" s="11">
        <f t="shared" si="8"/>
        <v>9434.7897979920708</v>
      </c>
      <c r="U22" s="12"/>
      <c r="V22" s="10">
        <f t="shared" si="10"/>
        <v>-100000</v>
      </c>
      <c r="W22" s="13">
        <f t="shared" si="5"/>
        <v>252149.99999999997</v>
      </c>
      <c r="X22" s="10">
        <f>K22</f>
        <v>150017.87309029698</v>
      </c>
      <c r="Y22" s="10">
        <f t="shared" si="13"/>
        <v>2132.1269097029872</v>
      </c>
    </row>
    <row r="23" spans="2:33" x14ac:dyDescent="0.25">
      <c r="F23" s="2">
        <f t="shared" si="11"/>
        <v>2</v>
      </c>
      <c r="G23" s="2">
        <f t="shared" si="12"/>
        <v>9</v>
      </c>
      <c r="H23" s="10">
        <f t="shared" si="0"/>
        <v>-887.35615656627056</v>
      </c>
      <c r="I23" s="11">
        <f t="shared" si="9"/>
        <v>-375.04468272574246</v>
      </c>
      <c r="J23" s="10">
        <f t="shared" si="7"/>
        <v>-512.31147384052815</v>
      </c>
      <c r="K23" s="10">
        <f t="shared" si="1"/>
        <v>149505.56161645646</v>
      </c>
      <c r="L23" s="11">
        <f>-($C$15/12+$C$17*$C$11/12+$C$18/12*(1+$C$19)^($F23-1)+$C$20*W23/12)</f>
        <v>-445.45833333333331</v>
      </c>
      <c r="M23" s="11"/>
      <c r="N23" s="11"/>
      <c r="O23" s="11">
        <f>H23+L23+M23+N23</f>
        <v>-1332.8144898996038</v>
      </c>
      <c r="P23" s="11"/>
      <c r="Q23" s="11">
        <f t="shared" si="2"/>
        <v>119230.21172524494</v>
      </c>
      <c r="R23" s="11">
        <f t="shared" si="3"/>
        <v>-867</v>
      </c>
      <c r="S23" s="11">
        <f t="shared" si="4"/>
        <v>465.81448989960381</v>
      </c>
      <c r="T23" s="11">
        <f t="shared" si="8"/>
        <v>9900.6042878916742</v>
      </c>
      <c r="U23" s="12"/>
      <c r="V23" s="10">
        <f t="shared" si="10"/>
        <v>-100000</v>
      </c>
      <c r="W23" s="13">
        <f t="shared" si="5"/>
        <v>252149.99999999997</v>
      </c>
      <c r="X23" s="10">
        <f>K23</f>
        <v>149505.56161645646</v>
      </c>
      <c r="Y23" s="10">
        <f t="shared" si="13"/>
        <v>2644.4383835435146</v>
      </c>
      <c r="AA23" s="2"/>
      <c r="AB23" s="2"/>
      <c r="AC23" s="4"/>
      <c r="AD23" s="2"/>
      <c r="AE23" s="2"/>
      <c r="AF23" s="2"/>
      <c r="AG23" s="2"/>
    </row>
    <row r="24" spans="2:33" x14ac:dyDescent="0.25">
      <c r="F24" s="2">
        <f t="shared" si="11"/>
        <v>2</v>
      </c>
      <c r="G24" s="2">
        <f t="shared" si="12"/>
        <v>10</v>
      </c>
      <c r="H24" s="10">
        <f t="shared" si="0"/>
        <v>-887.35615656627056</v>
      </c>
      <c r="I24" s="11">
        <f t="shared" si="9"/>
        <v>-373.76390404114113</v>
      </c>
      <c r="J24" s="10">
        <f t="shared" si="7"/>
        <v>-513.59225252512942</v>
      </c>
      <c r="K24" s="10">
        <f t="shared" si="1"/>
        <v>148991.96936393133</v>
      </c>
      <c r="L24" s="11">
        <f>-($C$15/12+$C$17*$C$11/12+$C$18/12*(1+$C$19)^($F24-1)+$C$20*W24/12)</f>
        <v>-445.45833333333331</v>
      </c>
      <c r="M24" s="11"/>
      <c r="N24" s="11"/>
      <c r="O24" s="11">
        <f>H24+L24+M24+N24</f>
        <v>-1332.8144898996038</v>
      </c>
      <c r="P24" s="11"/>
      <c r="Q24" s="11">
        <f t="shared" si="2"/>
        <v>120181.7848564638</v>
      </c>
      <c r="R24" s="11">
        <f t="shared" si="3"/>
        <v>-867</v>
      </c>
      <c r="S24" s="11">
        <f t="shared" si="4"/>
        <v>465.81448989960381</v>
      </c>
      <c r="T24" s="11">
        <f t="shared" si="8"/>
        <v>10366.418777791278</v>
      </c>
      <c r="U24" s="12"/>
      <c r="V24" s="10">
        <f t="shared" si="10"/>
        <v>-100000</v>
      </c>
      <c r="W24" s="13">
        <f t="shared" si="5"/>
        <v>252149.99999999997</v>
      </c>
      <c r="X24" s="10">
        <f>K24</f>
        <v>148991.96936393133</v>
      </c>
      <c r="Y24" s="10">
        <f t="shared" si="13"/>
        <v>3158.0306360686372</v>
      </c>
      <c r="AA24" s="2"/>
      <c r="AB24" s="2"/>
      <c r="AC24" s="12"/>
      <c r="AD24" s="10"/>
      <c r="AE24" s="2"/>
      <c r="AF24" s="2"/>
      <c r="AG24" s="10"/>
    </row>
    <row r="25" spans="2:33" x14ac:dyDescent="0.25">
      <c r="B25" t="s">
        <v>35</v>
      </c>
      <c r="C25">
        <v>5</v>
      </c>
      <c r="F25" s="2">
        <f t="shared" si="11"/>
        <v>2</v>
      </c>
      <c r="G25" s="2">
        <f t="shared" si="12"/>
        <v>11</v>
      </c>
      <c r="H25" s="10">
        <f t="shared" si="0"/>
        <v>-887.35615656627056</v>
      </c>
      <c r="I25" s="11">
        <f t="shared" si="9"/>
        <v>-372.47992340982836</v>
      </c>
      <c r="J25" s="10">
        <f t="shared" si="7"/>
        <v>-514.87623315644214</v>
      </c>
      <c r="K25" s="10">
        <f t="shared" si="1"/>
        <v>148477.09313077488</v>
      </c>
      <c r="L25" s="11">
        <f>-($C$15/12+$C$17*$C$11/12+$C$18/12*(1+$C$19)^($F25-1)+$C$20*W25/12)</f>
        <v>-445.45833333333331</v>
      </c>
      <c r="M25" s="11"/>
      <c r="N25" s="11"/>
      <c r="O25" s="11">
        <f>H25+L25+M25+N25</f>
        <v>-1332.8144898996038</v>
      </c>
      <c r="P25" s="11"/>
      <c r="Q25" s="11">
        <f t="shared" si="2"/>
        <v>121137.23481440844</v>
      </c>
      <c r="R25" s="11">
        <f t="shared" si="3"/>
        <v>-867</v>
      </c>
      <c r="S25" s="11">
        <f t="shared" si="4"/>
        <v>465.81448989960381</v>
      </c>
      <c r="T25" s="11">
        <f t="shared" si="8"/>
        <v>10832.233267690881</v>
      </c>
      <c r="U25" s="12"/>
      <c r="V25" s="10">
        <f t="shared" si="10"/>
        <v>-100000</v>
      </c>
      <c r="W25" s="13">
        <f t="shared" si="5"/>
        <v>252149.99999999997</v>
      </c>
      <c r="X25" s="10">
        <f>K25</f>
        <v>148477.09313077488</v>
      </c>
      <c r="Y25" s="10">
        <f t="shared" si="13"/>
        <v>3672.9068692250876</v>
      </c>
      <c r="AC25" s="4"/>
      <c r="AD25" s="2"/>
    </row>
    <row r="26" spans="2:33" x14ac:dyDescent="0.25">
      <c r="B26" t="s">
        <v>36</v>
      </c>
      <c r="C26">
        <v>6</v>
      </c>
      <c r="F26" s="2">
        <f t="shared" si="11"/>
        <v>2</v>
      </c>
      <c r="G26" s="2">
        <f t="shared" si="12"/>
        <v>12</v>
      </c>
      <c r="H26" s="10">
        <f t="shared" si="0"/>
        <v>-887.35615656627056</v>
      </c>
      <c r="I26" s="11">
        <f t="shared" si="9"/>
        <v>-371.19273282693723</v>
      </c>
      <c r="J26" s="10">
        <f t="shared" si="7"/>
        <v>-516.16342373933333</v>
      </c>
      <c r="K26" s="10">
        <f t="shared" si="1"/>
        <v>147960.92970703554</v>
      </c>
      <c r="L26" s="11">
        <f>-($C$15/12+$C$17*$C$11/12+$C$18/12*(1+$C$19)^($F26-1)+$C$20*W26/12)</f>
        <v>-445.45833333333331</v>
      </c>
      <c r="M26" s="11"/>
      <c r="N26" s="11"/>
      <c r="O26" s="11">
        <f>H26+L26+M26+N26</f>
        <v>-1332.8144898996038</v>
      </c>
      <c r="P26" s="11"/>
      <c r="Q26" s="11">
        <f t="shared" si="2"/>
        <v>122096.57739375082</v>
      </c>
      <c r="R26" s="11">
        <f t="shared" si="3"/>
        <v>-867</v>
      </c>
      <c r="S26" s="11">
        <f t="shared" si="4"/>
        <v>465.81448989960381</v>
      </c>
      <c r="T26" s="11">
        <f t="shared" si="8"/>
        <v>11298.047757590484</v>
      </c>
      <c r="U26" s="12"/>
      <c r="V26" s="10">
        <f t="shared" si="10"/>
        <v>-100000</v>
      </c>
      <c r="W26" s="13">
        <f t="shared" si="5"/>
        <v>252149.99999999997</v>
      </c>
      <c r="X26" s="10">
        <f>K26</f>
        <v>147960.92970703554</v>
      </c>
      <c r="Y26" s="10">
        <f t="shared" si="13"/>
        <v>4189.0702929644322</v>
      </c>
    </row>
    <row r="27" spans="2:33" x14ac:dyDescent="0.25">
      <c r="F27" s="2">
        <f t="shared" si="11"/>
        <v>3</v>
      </c>
      <c r="G27" s="2">
        <f t="shared" si="12"/>
        <v>1</v>
      </c>
      <c r="H27" s="10">
        <f t="shared" si="0"/>
        <v>-887.35615656627056</v>
      </c>
      <c r="I27" s="11">
        <f t="shared" si="9"/>
        <v>-369.90232426758888</v>
      </c>
      <c r="J27" s="10">
        <f t="shared" si="7"/>
        <v>-517.45383229868162</v>
      </c>
      <c r="K27" s="10">
        <f t="shared" si="1"/>
        <v>147443.47587473685</v>
      </c>
      <c r="L27" s="11">
        <f>-($C$15/12+$C$17*$C$11/12+$C$18/12*(1+$C$19)^($F27-1)+$C$20*W27/12)</f>
        <v>-452.75145833333329</v>
      </c>
      <c r="M27" s="11"/>
      <c r="N27" s="11"/>
      <c r="O27" s="11">
        <f>H27+L27+M27+N27</f>
        <v>-1340.107614899604</v>
      </c>
      <c r="P27" s="11"/>
      <c r="Q27" s="11">
        <f t="shared" si="2"/>
        <v>123049.78157851237</v>
      </c>
      <c r="R27" s="11">
        <f t="shared" si="3"/>
        <v>-884.34</v>
      </c>
      <c r="S27" s="11">
        <f t="shared" si="4"/>
        <v>455.76761489960393</v>
      </c>
      <c r="T27" s="11">
        <f t="shared" si="8"/>
        <v>11753.815372490088</v>
      </c>
      <c r="U27" s="12"/>
      <c r="V27" s="10">
        <f t="shared" si="10"/>
        <v>-100000</v>
      </c>
      <c r="W27" s="13">
        <f t="shared" si="5"/>
        <v>258453.74999999997</v>
      </c>
      <c r="X27" s="10">
        <f>K27</f>
        <v>147443.47587473685</v>
      </c>
      <c r="Y27" s="10">
        <f t="shared" si="13"/>
        <v>11010.274125263124</v>
      </c>
    </row>
    <row r="28" spans="2:33" x14ac:dyDescent="0.25">
      <c r="F28" s="2">
        <f t="shared" si="11"/>
        <v>3</v>
      </c>
      <c r="G28" s="2">
        <f t="shared" si="12"/>
        <v>2</v>
      </c>
      <c r="H28" s="10">
        <f t="shared" si="0"/>
        <v>-887.35615656627056</v>
      </c>
      <c r="I28" s="11">
        <f t="shared" si="9"/>
        <v>-368.60868968684213</v>
      </c>
      <c r="J28" s="10">
        <f t="shared" si="7"/>
        <v>-518.74746687942843</v>
      </c>
      <c r="K28" s="10">
        <f t="shared" si="1"/>
        <v>146924.72840785742</v>
      </c>
      <c r="L28" s="11">
        <f>-($C$15/12+$C$17*$C$11/12+$C$18/12*(1+$C$19)^($F28-1)+$C$20*W28/12)</f>
        <v>-452.75145833333329</v>
      </c>
      <c r="M28" s="11"/>
      <c r="N28" s="11"/>
      <c r="O28" s="11">
        <f>H28+L28+M28+N28</f>
        <v>-1340.107614899604</v>
      </c>
      <c r="P28" s="11"/>
      <c r="Q28" s="11">
        <f t="shared" si="2"/>
        <v>124006.86923511373</v>
      </c>
      <c r="R28" s="11">
        <f t="shared" si="3"/>
        <v>-884.34</v>
      </c>
      <c r="S28" s="11">
        <f t="shared" si="4"/>
        <v>455.76761489960393</v>
      </c>
      <c r="T28" s="11">
        <f t="shared" si="8"/>
        <v>12209.582987389691</v>
      </c>
      <c r="U28" s="12"/>
      <c r="V28" s="10">
        <f t="shared" si="10"/>
        <v>-100000</v>
      </c>
      <c r="W28" s="13">
        <f t="shared" si="5"/>
        <v>258453.74999999997</v>
      </c>
      <c r="X28" s="10">
        <f>K28</f>
        <v>146924.72840785742</v>
      </c>
      <c r="Y28" s="10">
        <f t="shared" si="13"/>
        <v>11529.021592142555</v>
      </c>
    </row>
    <row r="29" spans="2:33" x14ac:dyDescent="0.25">
      <c r="B29" t="s">
        <v>37</v>
      </c>
      <c r="C29" s="3">
        <f>-6*$D$12*K62</f>
        <v>-1927.4103990276651</v>
      </c>
      <c r="F29" s="2">
        <f t="shared" si="11"/>
        <v>3</v>
      </c>
      <c r="G29" s="2">
        <f t="shared" si="12"/>
        <v>3</v>
      </c>
      <c r="H29" s="10">
        <f t="shared" si="0"/>
        <v>-887.35615656627056</v>
      </c>
      <c r="I29" s="11">
        <f t="shared" si="9"/>
        <v>-367.31182101964356</v>
      </c>
      <c r="J29" s="10">
        <f t="shared" si="7"/>
        <v>-520.04433554662705</v>
      </c>
      <c r="K29" s="10">
        <f t="shared" si="1"/>
        <v>146404.68407231077</v>
      </c>
      <c r="L29" s="11">
        <f>-($C$15/12+$C$17*$C$11/12+$C$18/12*(1+$C$19)^($F29-1)+$C$20*W29/12)</f>
        <v>-452.75145833333329</v>
      </c>
      <c r="M29" s="11"/>
      <c r="N29" s="11"/>
      <c r="O29" s="11">
        <f>H29+L29+M29+N29</f>
        <v>-1340.107614899604</v>
      </c>
      <c r="P29" s="11"/>
      <c r="Q29" s="11">
        <f t="shared" si="2"/>
        <v>124967.85618529988</v>
      </c>
      <c r="R29" s="11">
        <f t="shared" si="3"/>
        <v>-884.34</v>
      </c>
      <c r="S29" s="11">
        <f t="shared" si="4"/>
        <v>455.76761489960393</v>
      </c>
      <c r="T29" s="11">
        <f t="shared" si="8"/>
        <v>12665.350602289294</v>
      </c>
      <c r="U29" s="12"/>
      <c r="V29" s="10">
        <f t="shared" si="10"/>
        <v>-100000</v>
      </c>
      <c r="W29" s="13">
        <f t="shared" si="5"/>
        <v>258453.74999999997</v>
      </c>
      <c r="X29" s="10">
        <f>K29</f>
        <v>146404.68407231077</v>
      </c>
      <c r="Y29" s="10">
        <f t="shared" si="13"/>
        <v>12049.065927689197</v>
      </c>
    </row>
    <row r="30" spans="2:33" x14ac:dyDescent="0.25">
      <c r="B30" t="s">
        <v>34</v>
      </c>
      <c r="C30" s="20">
        <f>W62-$C$22*W62-K62+C29</f>
        <v>127539.6355381904</v>
      </c>
      <c r="F30" s="2">
        <f t="shared" si="11"/>
        <v>3</v>
      </c>
      <c r="G30" s="2">
        <f t="shared" si="12"/>
        <v>4</v>
      </c>
      <c r="H30" s="10">
        <f t="shared" si="0"/>
        <v>-887.35615656627056</v>
      </c>
      <c r="I30" s="11">
        <f t="shared" si="9"/>
        <v>-366.01171018077696</v>
      </c>
      <c r="J30" s="10">
        <f t="shared" si="7"/>
        <v>-521.3444463854936</v>
      </c>
      <c r="K30" s="10">
        <f t="shared" si="1"/>
        <v>145883.33962592529</v>
      </c>
      <c r="L30" s="11">
        <f>-($C$15/12+$C$17*$C$11/12+$C$18/12*(1+$C$19)^($F30-1)+$C$20*W30/12)</f>
        <v>-452.75145833333329</v>
      </c>
      <c r="M30" s="11"/>
      <c r="N30" s="11"/>
      <c r="O30" s="11">
        <f>H30+L30+M30+N30</f>
        <v>-1340.107614899604</v>
      </c>
      <c r="P30" s="11"/>
      <c r="Q30" s="11">
        <f t="shared" si="2"/>
        <v>125932.75831527557</v>
      </c>
      <c r="R30" s="11">
        <f t="shared" si="3"/>
        <v>-884.34</v>
      </c>
      <c r="S30" s="11">
        <f t="shared" si="4"/>
        <v>455.76761489960393</v>
      </c>
      <c r="T30" s="11">
        <f t="shared" si="8"/>
        <v>13121.118217188898</v>
      </c>
      <c r="U30" s="12"/>
      <c r="V30" s="10">
        <f t="shared" si="10"/>
        <v>-100000</v>
      </c>
      <c r="W30" s="13">
        <f t="shared" si="5"/>
        <v>258453.74999999997</v>
      </c>
      <c r="X30" s="10">
        <f>K30</f>
        <v>145883.33962592529</v>
      </c>
      <c r="Y30" s="10">
        <f t="shared" si="13"/>
        <v>12570.41037407468</v>
      </c>
    </row>
    <row r="31" spans="2:33" x14ac:dyDescent="0.25">
      <c r="F31" s="2">
        <f t="shared" si="11"/>
        <v>3</v>
      </c>
      <c r="G31" s="2">
        <f t="shared" si="12"/>
        <v>5</v>
      </c>
      <c r="H31" s="10">
        <f t="shared" si="0"/>
        <v>-887.35615656627056</v>
      </c>
      <c r="I31" s="11">
        <f t="shared" si="9"/>
        <v>-364.70834906481326</v>
      </c>
      <c r="J31" s="10">
        <f t="shared" si="7"/>
        <v>-522.64780750145724</v>
      </c>
      <c r="K31" s="10">
        <f t="shared" si="1"/>
        <v>145360.69181842383</v>
      </c>
      <c r="L31" s="11">
        <f>-($C$15/12+$C$17*$C$11/12+$C$18/12*(1+$C$19)^($F31-1)+$C$20*W31/12)</f>
        <v>-452.75145833333329</v>
      </c>
      <c r="M31" s="11"/>
      <c r="N31" s="11"/>
      <c r="O31" s="11">
        <f>H31+L31+M31+N31</f>
        <v>-1340.107614899604</v>
      </c>
      <c r="P31" s="11"/>
      <c r="Q31" s="11">
        <f t="shared" si="2"/>
        <v>126901.59157596789</v>
      </c>
      <c r="R31" s="11">
        <f t="shared" si="3"/>
        <v>-884.34</v>
      </c>
      <c r="S31" s="11">
        <f t="shared" si="4"/>
        <v>455.76761489960393</v>
      </c>
      <c r="T31" s="11">
        <f t="shared" si="8"/>
        <v>13576.885832088501</v>
      </c>
      <c r="U31" s="12"/>
      <c r="V31" s="10">
        <f t="shared" si="10"/>
        <v>-100000</v>
      </c>
      <c r="W31" s="13">
        <f t="shared" si="5"/>
        <v>258453.74999999997</v>
      </c>
      <c r="X31" s="10">
        <f>K31</f>
        <v>145360.69181842383</v>
      </c>
      <c r="Y31" s="10">
        <f t="shared" si="13"/>
        <v>13093.05818157614</v>
      </c>
    </row>
    <row r="32" spans="2:33" x14ac:dyDescent="0.25">
      <c r="B32" t="s">
        <v>38</v>
      </c>
      <c r="C32" s="1">
        <v>0.05</v>
      </c>
      <c r="D32" s="19">
        <f>(1+C32)^(1/12)-1</f>
        <v>4.0741237836483535E-3</v>
      </c>
      <c r="F32" s="2">
        <f t="shared" si="11"/>
        <v>3</v>
      </c>
      <c r="G32" s="2">
        <f t="shared" si="12"/>
        <v>6</v>
      </c>
      <c r="H32" s="10">
        <f t="shared" si="0"/>
        <v>-887.35615656627056</v>
      </c>
      <c r="I32" s="11">
        <f t="shared" si="9"/>
        <v>-363.40172954605958</v>
      </c>
      <c r="J32" s="10">
        <f t="shared" si="7"/>
        <v>-523.95442702021091</v>
      </c>
      <c r="K32" s="10">
        <f t="shared" si="1"/>
        <v>144836.73739140361</v>
      </c>
      <c r="L32" s="11">
        <f>-($C$15/12+$C$17*$C$11/12+$C$18/12*(1+$C$19)^($F32-1)+$C$20*W32/12)</f>
        <v>-452.75145833333329</v>
      </c>
      <c r="M32" s="11"/>
      <c r="N32" s="11"/>
      <c r="O32" s="11">
        <f>H32+L32+M32+N32</f>
        <v>-1340.107614899604</v>
      </c>
      <c r="P32" s="11"/>
      <c r="Q32" s="11">
        <f t="shared" si="2"/>
        <v>127874.37198328998</v>
      </c>
      <c r="R32" s="11">
        <f t="shared" si="3"/>
        <v>-884.34</v>
      </c>
      <c r="S32" s="11">
        <f t="shared" si="4"/>
        <v>455.76761489960393</v>
      </c>
      <c r="T32" s="11">
        <f t="shared" si="8"/>
        <v>14032.653446988104</v>
      </c>
      <c r="U32" s="12"/>
      <c r="V32" s="10">
        <f t="shared" si="10"/>
        <v>-100000</v>
      </c>
      <c r="W32" s="13">
        <f t="shared" si="5"/>
        <v>258453.74999999997</v>
      </c>
      <c r="X32" s="10">
        <f>K32</f>
        <v>144836.73739140361</v>
      </c>
      <c r="Y32" s="10">
        <f t="shared" si="13"/>
        <v>13617.012608596357</v>
      </c>
    </row>
    <row r="33" spans="2:25" x14ac:dyDescent="0.25">
      <c r="B33" t="s">
        <v>47</v>
      </c>
      <c r="C33" s="1">
        <v>0.25</v>
      </c>
      <c r="F33" s="2">
        <f t="shared" si="11"/>
        <v>3</v>
      </c>
      <c r="G33" s="2">
        <f t="shared" si="12"/>
        <v>7</v>
      </c>
      <c r="H33" s="10">
        <f t="shared" si="0"/>
        <v>-887.35615656627056</v>
      </c>
      <c r="I33" s="11">
        <f t="shared" si="9"/>
        <v>-362.09184347850902</v>
      </c>
      <c r="J33" s="10">
        <f t="shared" si="7"/>
        <v>-525.26431308776159</v>
      </c>
      <c r="K33" s="10">
        <f t="shared" si="1"/>
        <v>144311.47307831584</v>
      </c>
      <c r="L33" s="11">
        <f>-($C$15/12+$C$17*$C$11/12+$C$18/12*(1+$C$19)^($F33-1)+$C$20*W33/12)</f>
        <v>-452.75145833333329</v>
      </c>
      <c r="M33" s="11"/>
      <c r="N33" s="11"/>
      <c r="O33" s="11">
        <f>H33+L33+M33+N33</f>
        <v>-1340.107614899604</v>
      </c>
      <c r="P33" s="11"/>
      <c r="Q33" s="11">
        <f t="shared" si="2"/>
        <v>128851.11561840581</v>
      </c>
      <c r="R33" s="11">
        <f t="shared" si="3"/>
        <v>-884.34</v>
      </c>
      <c r="S33" s="11">
        <f t="shared" si="4"/>
        <v>455.76761489960393</v>
      </c>
      <c r="T33" s="11">
        <f t="shared" si="8"/>
        <v>14488.421061887708</v>
      </c>
      <c r="U33" s="12"/>
      <c r="V33" s="10">
        <f t="shared" si="10"/>
        <v>-100000</v>
      </c>
      <c r="W33" s="13">
        <f t="shared" si="5"/>
        <v>258453.74999999997</v>
      </c>
      <c r="X33" s="10">
        <f>K33</f>
        <v>144311.47307831584</v>
      </c>
      <c r="Y33" s="10">
        <f t="shared" si="13"/>
        <v>14142.276921684126</v>
      </c>
    </row>
    <row r="34" spans="2:25" x14ac:dyDescent="0.25">
      <c r="B34" t="s">
        <v>45</v>
      </c>
      <c r="C34">
        <v>850</v>
      </c>
      <c r="F34" s="2">
        <f t="shared" si="11"/>
        <v>3</v>
      </c>
      <c r="G34" s="2">
        <f t="shared" si="12"/>
        <v>8</v>
      </c>
      <c r="H34" s="10">
        <f t="shared" si="0"/>
        <v>-887.35615656627056</v>
      </c>
      <c r="I34" s="11">
        <f t="shared" si="9"/>
        <v>-360.7786826957896</v>
      </c>
      <c r="J34" s="10">
        <f t="shared" si="7"/>
        <v>-526.57747387048096</v>
      </c>
      <c r="K34" s="10">
        <f t="shared" si="1"/>
        <v>143784.89560444537</v>
      </c>
      <c r="L34" s="11">
        <f>-($C$15/12+$C$17*$C$11/12+$C$18/12*(1+$C$19)^($F34-1)+$C$20*W34/12)</f>
        <v>-452.75145833333329</v>
      </c>
      <c r="M34" s="11"/>
      <c r="N34" s="11"/>
      <c r="O34" s="11">
        <f>H34+L34+M34+N34</f>
        <v>-1340.107614899604</v>
      </c>
      <c r="P34" s="11"/>
      <c r="Q34" s="11">
        <f t="shared" si="2"/>
        <v>129831.83862799598</v>
      </c>
      <c r="R34" s="11">
        <f t="shared" si="3"/>
        <v>-884.34</v>
      </c>
      <c r="S34" s="11">
        <f t="shared" si="4"/>
        <v>455.76761489960393</v>
      </c>
      <c r="T34" s="11">
        <f t="shared" si="8"/>
        <v>14944.188676787311</v>
      </c>
      <c r="U34" s="12"/>
      <c r="V34" s="10">
        <f t="shared" si="10"/>
        <v>-100000</v>
      </c>
      <c r="W34" s="13">
        <f t="shared" si="5"/>
        <v>258453.74999999997</v>
      </c>
      <c r="X34" s="10">
        <f>K34</f>
        <v>143784.89560444537</v>
      </c>
      <c r="Y34" s="10">
        <f t="shared" si="13"/>
        <v>14668.854395554605</v>
      </c>
    </row>
    <row r="35" spans="2:25" x14ac:dyDescent="0.25">
      <c r="B35" t="s">
        <v>46</v>
      </c>
      <c r="C35" s="1">
        <v>0.02</v>
      </c>
      <c r="F35" s="2">
        <f t="shared" si="11"/>
        <v>3</v>
      </c>
      <c r="G35" s="2">
        <f t="shared" si="12"/>
        <v>9</v>
      </c>
      <c r="H35" s="10">
        <f t="shared" si="0"/>
        <v>-887.35615656627056</v>
      </c>
      <c r="I35" s="11">
        <f t="shared" si="9"/>
        <v>-359.46223901111341</v>
      </c>
      <c r="J35" s="10">
        <f t="shared" si="7"/>
        <v>-527.89391755515715</v>
      </c>
      <c r="K35" s="10">
        <f t="shared" si="1"/>
        <v>143257.0016868902</v>
      </c>
      <c r="L35" s="11">
        <f>-($C$15/12+$C$17*$C$11/12+$C$18/12*(1+$C$19)^($F35-1)+$C$20*W35/12)</f>
        <v>-452.75145833333329</v>
      </c>
      <c r="M35" s="11"/>
      <c r="N35" s="11"/>
      <c r="O35" s="11">
        <f>H35+L35+M35+N35</f>
        <v>-1340.107614899604</v>
      </c>
      <c r="P35" s="11"/>
      <c r="Q35" s="11">
        <f t="shared" si="2"/>
        <v>130816.5572245247</v>
      </c>
      <c r="R35" s="11">
        <f t="shared" si="3"/>
        <v>-884.34</v>
      </c>
      <c r="S35" s="11">
        <f t="shared" si="4"/>
        <v>455.76761489960393</v>
      </c>
      <c r="T35" s="11">
        <f t="shared" si="8"/>
        <v>15399.956291686914</v>
      </c>
      <c r="U35" s="12"/>
      <c r="V35" s="10">
        <f t="shared" si="10"/>
        <v>-100000</v>
      </c>
      <c r="W35" s="13">
        <f t="shared" si="5"/>
        <v>258453.74999999997</v>
      </c>
      <c r="X35" s="10">
        <f>K35</f>
        <v>143257.0016868902</v>
      </c>
      <c r="Y35" s="10">
        <f t="shared" si="13"/>
        <v>15196.748313109769</v>
      </c>
    </row>
    <row r="36" spans="2:25" x14ac:dyDescent="0.25">
      <c r="B36" t="s">
        <v>51</v>
      </c>
      <c r="C36" s="25">
        <v>0.92</v>
      </c>
      <c r="F36" s="2">
        <f t="shared" si="11"/>
        <v>3</v>
      </c>
      <c r="G36" s="2">
        <f t="shared" si="12"/>
        <v>10</v>
      </c>
      <c r="H36" s="10">
        <f t="shared" si="0"/>
        <v>-887.35615656627056</v>
      </c>
      <c r="I36" s="11">
        <f t="shared" si="9"/>
        <v>-358.14250421722551</v>
      </c>
      <c r="J36" s="10">
        <f t="shared" si="7"/>
        <v>-529.21365234904511</v>
      </c>
      <c r="K36" s="10">
        <f t="shared" si="1"/>
        <v>142727.78803454115</v>
      </c>
      <c r="L36" s="11">
        <f>-($C$15/12+$C$17*$C$11/12+$C$18/12*(1+$C$19)^($F36-1)+$C$20*W36/12)</f>
        <v>-452.75145833333329</v>
      </c>
      <c r="M36" s="11"/>
      <c r="N36" s="11"/>
      <c r="O36" s="11">
        <f>H36+L36+M36+N36</f>
        <v>-1340.107614899604</v>
      </c>
      <c r="P36" s="11"/>
      <c r="Q36" s="11">
        <f t="shared" si="2"/>
        <v>131805.28768650774</v>
      </c>
      <c r="R36" s="11">
        <f t="shared" si="3"/>
        <v>-884.34</v>
      </c>
      <c r="S36" s="11">
        <f t="shared" si="4"/>
        <v>455.76761489960393</v>
      </c>
      <c r="T36" s="11">
        <f t="shared" si="8"/>
        <v>15855.723906586518</v>
      </c>
      <c r="U36" s="12"/>
      <c r="V36" s="10">
        <f t="shared" si="10"/>
        <v>-100000</v>
      </c>
      <c r="W36" s="13">
        <f t="shared" si="5"/>
        <v>258453.74999999997</v>
      </c>
      <c r="X36" s="10">
        <f>K36</f>
        <v>142727.78803454115</v>
      </c>
      <c r="Y36" s="10">
        <f t="shared" si="13"/>
        <v>15725.961965458817</v>
      </c>
    </row>
    <row r="37" spans="2:25" x14ac:dyDescent="0.25">
      <c r="B37" t="s">
        <v>65</v>
      </c>
      <c r="C37" s="25">
        <v>0.06</v>
      </c>
      <c r="F37" s="2">
        <f t="shared" si="11"/>
        <v>3</v>
      </c>
      <c r="G37" s="2">
        <f t="shared" si="12"/>
        <v>11</v>
      </c>
      <c r="H37" s="10">
        <f t="shared" si="0"/>
        <v>-887.35615656627056</v>
      </c>
      <c r="I37" s="11">
        <f t="shared" si="9"/>
        <v>-356.81947008635291</v>
      </c>
      <c r="J37" s="10">
        <f t="shared" si="7"/>
        <v>-530.53668647991765</v>
      </c>
      <c r="K37" s="10">
        <f t="shared" si="1"/>
        <v>142197.25134806123</v>
      </c>
      <c r="L37" s="11">
        <f>-($C$15/12+$C$17*$C$11/12+$C$18/12*(1+$C$19)^($F37-1)+$C$20*W37/12)</f>
        <v>-452.75145833333329</v>
      </c>
      <c r="M37" s="11"/>
      <c r="N37" s="11"/>
      <c r="O37" s="11">
        <f>H37+L37+M37+N37</f>
        <v>-1340.107614899604</v>
      </c>
      <c r="P37" s="11"/>
      <c r="Q37" s="11">
        <f t="shared" si="2"/>
        <v>132798.04635878158</v>
      </c>
      <c r="R37" s="11">
        <f t="shared" si="3"/>
        <v>-884.34</v>
      </c>
      <c r="S37" s="11">
        <f t="shared" si="4"/>
        <v>455.76761489960393</v>
      </c>
      <c r="T37" s="11">
        <f t="shared" si="8"/>
        <v>16311.491521486121</v>
      </c>
      <c r="U37" s="12"/>
      <c r="V37" s="10">
        <f t="shared" si="10"/>
        <v>-100000</v>
      </c>
      <c r="W37" s="13">
        <f t="shared" si="5"/>
        <v>258453.74999999997</v>
      </c>
      <c r="X37" s="10">
        <f>K37</f>
        <v>142197.25134806123</v>
      </c>
      <c r="Y37" s="10">
        <f t="shared" si="13"/>
        <v>16256.498651938746</v>
      </c>
    </row>
    <row r="38" spans="2:25" x14ac:dyDescent="0.25">
      <c r="C38" s="3"/>
      <c r="F38" s="2">
        <f t="shared" si="11"/>
        <v>3</v>
      </c>
      <c r="G38" s="2">
        <f t="shared" si="12"/>
        <v>12</v>
      </c>
      <c r="H38" s="10">
        <f t="shared" si="0"/>
        <v>-887.35615656627056</v>
      </c>
      <c r="I38" s="11">
        <f t="shared" si="9"/>
        <v>-355.49312837015304</v>
      </c>
      <c r="J38" s="10">
        <f t="shared" si="7"/>
        <v>-531.86302819611751</v>
      </c>
      <c r="K38" s="10">
        <f t="shared" si="1"/>
        <v>141665.3883198651</v>
      </c>
      <c r="L38" s="11">
        <f>-($C$15/12+$C$17*$C$11/12+$C$18/12*(1+$C$19)^($F38-1)+$C$20*W38/12)</f>
        <v>-452.75145833333329</v>
      </c>
      <c r="M38" s="11"/>
      <c r="N38" s="11"/>
      <c r="O38" s="11">
        <f>H38+L38+M38+N38</f>
        <v>-1340.107614899604</v>
      </c>
      <c r="P38" s="11"/>
      <c r="Q38" s="11">
        <f t="shared" si="2"/>
        <v>133794.84965277353</v>
      </c>
      <c r="R38" s="11">
        <f t="shared" si="3"/>
        <v>-884.34</v>
      </c>
      <c r="S38" s="11">
        <f t="shared" si="4"/>
        <v>455.76761489960393</v>
      </c>
      <c r="T38" s="11">
        <f t="shared" si="8"/>
        <v>16767.259136385725</v>
      </c>
      <c r="U38" s="12"/>
      <c r="V38" s="10">
        <f t="shared" si="10"/>
        <v>-100000</v>
      </c>
      <c r="W38" s="13">
        <f t="shared" si="5"/>
        <v>258453.74999999997</v>
      </c>
      <c r="X38" s="10">
        <f>K38</f>
        <v>141665.3883198651</v>
      </c>
      <c r="Y38" s="10">
        <f t="shared" si="13"/>
        <v>16788.361680134869</v>
      </c>
    </row>
    <row r="39" spans="2:25" x14ac:dyDescent="0.25">
      <c r="C39" s="3"/>
      <c r="F39" s="2">
        <f t="shared" si="11"/>
        <v>4</v>
      </c>
      <c r="G39" s="2">
        <f t="shared" si="12"/>
        <v>1</v>
      </c>
      <c r="H39" s="10">
        <f t="shared" si="0"/>
        <v>-887.35615656627056</v>
      </c>
      <c r="I39" s="11">
        <f t="shared" si="9"/>
        <v>-354.16347079966278</v>
      </c>
      <c r="J39" s="10">
        <f t="shared" si="7"/>
        <v>-533.19268576660784</v>
      </c>
      <c r="K39" s="10">
        <f t="shared" si="1"/>
        <v>141132.19563409849</v>
      </c>
      <c r="L39" s="11">
        <f>-($C$15/12+$C$17*$C$11/12+$C$18/12*(1+$C$19)^($F39-1)+$C$20*W39/12)</f>
        <v>-460.21671145833329</v>
      </c>
      <c r="M39" s="11"/>
      <c r="N39" s="11"/>
      <c r="O39" s="11">
        <f>H39+L39+M39+N39</f>
        <v>-1347.5728680246038</v>
      </c>
      <c r="P39" s="11"/>
      <c r="Q39" s="11">
        <f t="shared" si="2"/>
        <v>134785.49249989816</v>
      </c>
      <c r="R39" s="11">
        <f t="shared" si="3"/>
        <v>-902.02679999999998</v>
      </c>
      <c r="S39" s="11">
        <f t="shared" si="4"/>
        <v>445.54606802460387</v>
      </c>
      <c r="T39" s="11">
        <f t="shared" si="8"/>
        <v>17212.805204410328</v>
      </c>
      <c r="U39" s="12"/>
      <c r="V39" s="10">
        <f t="shared" si="10"/>
        <v>-100000</v>
      </c>
      <c r="W39" s="13">
        <f t="shared" si="5"/>
        <v>264915.09374999994</v>
      </c>
      <c r="X39" s="10">
        <f>K39</f>
        <v>141132.19563409849</v>
      </c>
      <c r="Y39" s="10">
        <f t="shared" si="13"/>
        <v>23782.898115901451</v>
      </c>
    </row>
    <row r="40" spans="2:25" x14ac:dyDescent="0.25">
      <c r="C40" s="3"/>
      <c r="F40" s="2">
        <f t="shared" si="11"/>
        <v>4</v>
      </c>
      <c r="G40" s="2">
        <f t="shared" si="12"/>
        <v>2</v>
      </c>
      <c r="H40" s="10">
        <f t="shared" si="0"/>
        <v>-887.35615656627056</v>
      </c>
      <c r="I40" s="11">
        <f t="shared" si="9"/>
        <v>-352.83048908524626</v>
      </c>
      <c r="J40" s="10">
        <f t="shared" si="7"/>
        <v>-534.52566748102436</v>
      </c>
      <c r="K40" s="10">
        <f t="shared" si="1"/>
        <v>140597.66996661745</v>
      </c>
      <c r="L40" s="11">
        <f>-($C$15/12+$C$17*$C$11/12+$C$18/12*(1+$C$19)^($F40-1)+$C$20*W40/12)</f>
        <v>-460.21671145833329</v>
      </c>
      <c r="M40" s="11"/>
      <c r="N40" s="11"/>
      <c r="O40" s="11">
        <f>H40+L40+M40+N40</f>
        <v>-1347.5728680246038</v>
      </c>
      <c r="P40" s="11"/>
      <c r="Q40" s="11">
        <f t="shared" si="2"/>
        <v>135780.17134860737</v>
      </c>
      <c r="R40" s="11">
        <f t="shared" si="3"/>
        <v>-902.02679999999998</v>
      </c>
      <c r="S40" s="11">
        <f t="shared" si="4"/>
        <v>445.54606802460387</v>
      </c>
      <c r="T40" s="11">
        <f t="shared" si="8"/>
        <v>17658.351272434931</v>
      </c>
      <c r="U40" s="12"/>
      <c r="V40" s="10">
        <f t="shared" si="10"/>
        <v>-100000</v>
      </c>
      <c r="W40" s="13">
        <f t="shared" si="5"/>
        <v>264915.09374999994</v>
      </c>
      <c r="X40" s="10">
        <f>K40</f>
        <v>140597.66996661745</v>
      </c>
      <c r="Y40" s="10">
        <f t="shared" si="13"/>
        <v>24317.423783382488</v>
      </c>
    </row>
    <row r="41" spans="2:25" x14ac:dyDescent="0.25">
      <c r="C41" s="3"/>
      <c r="F41" s="2">
        <f t="shared" si="11"/>
        <v>4</v>
      </c>
      <c r="G41" s="2">
        <f t="shared" si="12"/>
        <v>3</v>
      </c>
      <c r="H41" s="10">
        <f t="shared" si="0"/>
        <v>-887.35615656627056</v>
      </c>
      <c r="I41" s="11">
        <f t="shared" si="9"/>
        <v>-351.49417491654361</v>
      </c>
      <c r="J41" s="10">
        <f t="shared" si="7"/>
        <v>-535.86198164972689</v>
      </c>
      <c r="K41" s="10">
        <f t="shared" si="1"/>
        <v>140061.80798496772</v>
      </c>
      <c r="L41" s="11">
        <f>-($C$15/12+$C$17*$C$11/12+$C$18/12*(1+$C$19)^($F41-1)+$C$20*W41/12)</f>
        <v>-460.21671145833329</v>
      </c>
      <c r="M41" s="11"/>
      <c r="N41" s="11"/>
      <c r="O41" s="11">
        <f>H41+L41+M41+N41</f>
        <v>-1347.5728680246038</v>
      </c>
      <c r="P41" s="11"/>
      <c r="Q41" s="11">
        <f t="shared" si="2"/>
        <v>136778.90264207119</v>
      </c>
      <c r="R41" s="11">
        <f t="shared" si="3"/>
        <v>-902.02679999999998</v>
      </c>
      <c r="S41" s="11">
        <f t="shared" si="4"/>
        <v>445.54606802460387</v>
      </c>
      <c r="T41" s="11">
        <f t="shared" si="8"/>
        <v>18103.897340459534</v>
      </c>
      <c r="U41" s="12"/>
      <c r="V41" s="10">
        <f t="shared" si="10"/>
        <v>-100000</v>
      </c>
      <c r="W41" s="13">
        <f t="shared" si="5"/>
        <v>264915.09374999994</v>
      </c>
      <c r="X41" s="10">
        <f>K41</f>
        <v>140061.80798496772</v>
      </c>
      <c r="Y41" s="10">
        <f t="shared" si="13"/>
        <v>24853.285765032226</v>
      </c>
    </row>
    <row r="42" spans="2:25" x14ac:dyDescent="0.25">
      <c r="C42" s="3"/>
      <c r="F42" s="2">
        <f t="shared" si="11"/>
        <v>4</v>
      </c>
      <c r="G42" s="2">
        <f t="shared" si="12"/>
        <v>4</v>
      </c>
      <c r="H42" s="10">
        <f t="shared" si="0"/>
        <v>-887.35615656627056</v>
      </c>
      <c r="I42" s="11">
        <f t="shared" si="9"/>
        <v>-350.15451996241927</v>
      </c>
      <c r="J42" s="10">
        <f t="shared" si="7"/>
        <v>-537.20163660385128</v>
      </c>
      <c r="K42" s="10">
        <f t="shared" si="1"/>
        <v>139524.60634836386</v>
      </c>
      <c r="L42" s="11">
        <f>-($C$15/12+$C$17*$C$11/12+$C$18/12*(1+$C$19)^($F42-1)+$C$20*W42/12)</f>
        <v>-460.21671145833329</v>
      </c>
      <c r="M42" s="11"/>
      <c r="N42" s="11"/>
      <c r="O42" s="11">
        <f>H42+L42+M42+N42</f>
        <v>-1347.5728680246038</v>
      </c>
      <c r="P42" s="11"/>
      <c r="Q42" s="11">
        <f t="shared" si="2"/>
        <v>137781.70289045118</v>
      </c>
      <c r="R42" s="11">
        <f t="shared" si="3"/>
        <v>-902.02679999999998</v>
      </c>
      <c r="S42" s="11">
        <f t="shared" si="4"/>
        <v>445.54606802460387</v>
      </c>
      <c r="T42" s="11">
        <f t="shared" si="8"/>
        <v>18549.443408484138</v>
      </c>
      <c r="U42" s="12"/>
      <c r="V42" s="10">
        <f t="shared" si="10"/>
        <v>-100000</v>
      </c>
      <c r="W42" s="13">
        <f t="shared" si="5"/>
        <v>264915.09374999994</v>
      </c>
      <c r="X42" s="10">
        <f>K42</f>
        <v>139524.60634836386</v>
      </c>
      <c r="Y42" s="10">
        <f t="shared" si="13"/>
        <v>25390.487401636085</v>
      </c>
    </row>
    <row r="43" spans="2:25" x14ac:dyDescent="0.25">
      <c r="C43" s="3"/>
      <c r="F43" s="2">
        <f t="shared" si="11"/>
        <v>4</v>
      </c>
      <c r="G43" s="2">
        <f t="shared" si="12"/>
        <v>5</v>
      </c>
      <c r="H43" s="10">
        <f t="shared" si="0"/>
        <v>-887.35615656627056</v>
      </c>
      <c r="I43" s="11">
        <f t="shared" si="9"/>
        <v>-348.81151587090966</v>
      </c>
      <c r="J43" s="10">
        <f t="shared" si="7"/>
        <v>-538.54464069536084</v>
      </c>
      <c r="K43" s="10">
        <f t="shared" si="1"/>
        <v>138986.0617076685</v>
      </c>
      <c r="L43" s="11">
        <f>-($C$15/12+$C$17*$C$11/12+$C$18/12*(1+$C$19)^($F43-1)+$C$20*W43/12)</f>
        <v>-460.21671145833329</v>
      </c>
      <c r="M43" s="11"/>
      <c r="N43" s="11"/>
      <c r="O43" s="11">
        <f>H43+L43+M43+N43</f>
        <v>-1347.5728680246038</v>
      </c>
      <c r="P43" s="11"/>
      <c r="Q43" s="11">
        <f t="shared" si="2"/>
        <v>138788.58867117335</v>
      </c>
      <c r="R43" s="11">
        <f t="shared" si="3"/>
        <v>-902.02679999999998</v>
      </c>
      <c r="S43" s="11">
        <f t="shared" si="4"/>
        <v>445.54606802460387</v>
      </c>
      <c r="T43" s="11">
        <f t="shared" si="8"/>
        <v>18994.989476508741</v>
      </c>
      <c r="U43" s="12"/>
      <c r="V43" s="10">
        <f t="shared" si="10"/>
        <v>-100000</v>
      </c>
      <c r="W43" s="13">
        <f t="shared" si="5"/>
        <v>264915.09374999994</v>
      </c>
      <c r="X43" s="10">
        <f>K43</f>
        <v>138986.0617076685</v>
      </c>
      <c r="Y43" s="10">
        <f t="shared" si="13"/>
        <v>25929.032042331441</v>
      </c>
    </row>
    <row r="44" spans="2:25" x14ac:dyDescent="0.25">
      <c r="C44" s="3"/>
      <c r="F44" s="2">
        <f t="shared" si="11"/>
        <v>4</v>
      </c>
      <c r="G44" s="2">
        <f t="shared" si="12"/>
        <v>6</v>
      </c>
      <c r="H44" s="10">
        <f t="shared" si="0"/>
        <v>-887.35615656627056</v>
      </c>
      <c r="I44" s="11">
        <f t="shared" si="9"/>
        <v>-347.46515426917125</v>
      </c>
      <c r="J44" s="10">
        <f t="shared" si="7"/>
        <v>-539.89100229709925</v>
      </c>
      <c r="K44" s="10">
        <f t="shared" si="1"/>
        <v>138446.17070537139</v>
      </c>
      <c r="L44" s="11">
        <f>-($C$15/12+$C$17*$C$11/12+$C$18/12*(1+$C$19)^($F44-1)+$C$20*W44/12)</f>
        <v>-460.21671145833329</v>
      </c>
      <c r="M44" s="11"/>
      <c r="N44" s="11"/>
      <c r="O44" s="11">
        <f>H44+L44+M44+N44</f>
        <v>-1347.5728680246038</v>
      </c>
      <c r="P44" s="11"/>
      <c r="Q44" s="11">
        <f t="shared" si="2"/>
        <v>139799.57662920217</v>
      </c>
      <c r="R44" s="11">
        <f t="shared" si="3"/>
        <v>-902.02679999999998</v>
      </c>
      <c r="S44" s="11">
        <f t="shared" si="4"/>
        <v>445.54606802460387</v>
      </c>
      <c r="T44" s="11">
        <f t="shared" si="8"/>
        <v>19440.535544533344</v>
      </c>
      <c r="U44" s="12"/>
      <c r="V44" s="10">
        <f t="shared" si="10"/>
        <v>-100000</v>
      </c>
      <c r="W44" s="13">
        <f t="shared" si="5"/>
        <v>264915.09374999994</v>
      </c>
      <c r="X44" s="10">
        <f>K44</f>
        <v>138446.17070537139</v>
      </c>
      <c r="Y44" s="10">
        <f t="shared" si="13"/>
        <v>26468.923044628551</v>
      </c>
    </row>
    <row r="45" spans="2:25" x14ac:dyDescent="0.25">
      <c r="C45" s="3"/>
      <c r="F45" s="2">
        <f t="shared" si="11"/>
        <v>4</v>
      </c>
      <c r="G45" s="2">
        <f t="shared" si="12"/>
        <v>7</v>
      </c>
      <c r="H45" s="10">
        <f t="shared" si="0"/>
        <v>-887.35615656627056</v>
      </c>
      <c r="I45" s="11">
        <f t="shared" si="9"/>
        <v>-346.1154267634285</v>
      </c>
      <c r="J45" s="10">
        <f t="shared" si="7"/>
        <v>-541.240729802842</v>
      </c>
      <c r="K45" s="10">
        <f t="shared" si="1"/>
        <v>137904.92997556855</v>
      </c>
      <c r="L45" s="11">
        <f>-($C$15/12+$C$17*$C$11/12+$C$18/12*(1+$C$19)^($F45-1)+$C$20*W45/12)</f>
        <v>-460.21671145833329</v>
      </c>
      <c r="M45" s="11"/>
      <c r="N45" s="11"/>
      <c r="O45" s="11">
        <f>H45+L45+M45+N45</f>
        <v>-1347.5728680246038</v>
      </c>
      <c r="P45" s="11"/>
      <c r="Q45" s="11">
        <f t="shared" si="2"/>
        <v>140814.68347731579</v>
      </c>
      <c r="R45" s="11">
        <f t="shared" si="3"/>
        <v>-902.02679999999998</v>
      </c>
      <c r="S45" s="11">
        <f t="shared" si="4"/>
        <v>445.54606802460387</v>
      </c>
      <c r="T45" s="11">
        <f t="shared" si="8"/>
        <v>19886.081612557948</v>
      </c>
      <c r="U45" s="12"/>
      <c r="V45" s="10">
        <f t="shared" si="10"/>
        <v>-100000</v>
      </c>
      <c r="W45" s="13">
        <f t="shared" si="5"/>
        <v>264915.09374999994</v>
      </c>
      <c r="X45" s="10">
        <f>K45</f>
        <v>137904.92997556855</v>
      </c>
      <c r="Y45" s="10">
        <f t="shared" si="13"/>
        <v>27010.163774431392</v>
      </c>
    </row>
    <row r="46" spans="2:25" x14ac:dyDescent="0.25">
      <c r="C46" s="3"/>
      <c r="F46" s="2">
        <f t="shared" si="11"/>
        <v>4</v>
      </c>
      <c r="G46" s="2">
        <f t="shared" si="12"/>
        <v>8</v>
      </c>
      <c r="H46" s="10">
        <f t="shared" si="0"/>
        <v>-887.35615656627056</v>
      </c>
      <c r="I46" s="11">
        <f t="shared" si="9"/>
        <v>-344.76232493892138</v>
      </c>
      <c r="J46" s="10">
        <f t="shared" si="7"/>
        <v>-542.59383162734912</v>
      </c>
      <c r="K46" s="10">
        <f t="shared" si="1"/>
        <v>137362.33614394121</v>
      </c>
      <c r="L46" s="11">
        <f>-($C$15/12+$C$17*$C$11/12+$C$18/12*(1+$C$19)^($F46-1)+$C$20*W46/12)</f>
        <v>-460.21671145833329</v>
      </c>
      <c r="M46" s="11"/>
      <c r="N46" s="11"/>
      <c r="O46" s="11">
        <f>H46+L46+M46+N46</f>
        <v>-1347.5728680246038</v>
      </c>
      <c r="P46" s="11"/>
      <c r="Q46" s="11">
        <f t="shared" si="2"/>
        <v>141833.92599638226</v>
      </c>
      <c r="R46" s="11">
        <f t="shared" si="3"/>
        <v>-902.02679999999998</v>
      </c>
      <c r="S46" s="11">
        <f t="shared" si="4"/>
        <v>445.54606802460387</v>
      </c>
      <c r="T46" s="11">
        <f t="shared" si="8"/>
        <v>20331.627680582551</v>
      </c>
      <c r="U46" s="12"/>
      <c r="V46" s="10">
        <f t="shared" si="10"/>
        <v>-100000</v>
      </c>
      <c r="W46" s="13">
        <f t="shared" si="5"/>
        <v>264915.09374999994</v>
      </c>
      <c r="X46" s="10">
        <f>K46</f>
        <v>137362.33614394121</v>
      </c>
      <c r="Y46" s="10">
        <f t="shared" si="13"/>
        <v>27552.757606058731</v>
      </c>
    </row>
    <row r="47" spans="2:25" x14ac:dyDescent="0.25">
      <c r="F47" s="2">
        <f t="shared" si="11"/>
        <v>4</v>
      </c>
      <c r="G47" s="2">
        <f t="shared" si="12"/>
        <v>9</v>
      </c>
      <c r="H47" s="10">
        <f t="shared" si="0"/>
        <v>-887.35615656627056</v>
      </c>
      <c r="I47" s="11">
        <f t="shared" si="9"/>
        <v>-343.40584035985302</v>
      </c>
      <c r="J47" s="10">
        <f t="shared" si="7"/>
        <v>-543.95031620641748</v>
      </c>
      <c r="K47" s="10">
        <f t="shared" si="1"/>
        <v>136818.3858277348</v>
      </c>
      <c r="L47" s="11">
        <f>-($C$15/12+$C$17*$C$11/12+$C$18/12*(1+$C$19)^($F47-1)+$C$20*W47/12)</f>
        <v>-460.21671145833329</v>
      </c>
      <c r="M47" s="11"/>
      <c r="N47" s="11"/>
      <c r="O47" s="11">
        <f>H47+L47+M47+N47</f>
        <v>-1347.5728680246038</v>
      </c>
      <c r="P47" s="11"/>
      <c r="Q47" s="11">
        <f t="shared" si="2"/>
        <v>142857.32103563697</v>
      </c>
      <c r="R47" s="11">
        <f t="shared" si="3"/>
        <v>-902.02679999999998</v>
      </c>
      <c r="S47" s="11">
        <f t="shared" si="4"/>
        <v>445.54606802460387</v>
      </c>
      <c r="T47" s="11">
        <f t="shared" si="8"/>
        <v>20777.173748607154</v>
      </c>
      <c r="U47" s="12"/>
      <c r="V47" s="10">
        <f t="shared" si="10"/>
        <v>-100000</v>
      </c>
      <c r="W47" s="13">
        <f t="shared" si="5"/>
        <v>264915.09374999994</v>
      </c>
      <c r="X47" s="10">
        <f>K47</f>
        <v>136818.3858277348</v>
      </c>
      <c r="Y47" s="10">
        <f t="shared" si="13"/>
        <v>28096.707922265137</v>
      </c>
    </row>
    <row r="48" spans="2:25" x14ac:dyDescent="0.25">
      <c r="F48" s="2">
        <f t="shared" si="11"/>
        <v>4</v>
      </c>
      <c r="G48" s="2">
        <f t="shared" si="12"/>
        <v>10</v>
      </c>
      <c r="H48" s="10">
        <f t="shared" si="0"/>
        <v>-887.35615656627056</v>
      </c>
      <c r="I48" s="11">
        <f t="shared" si="9"/>
        <v>-342.045964569337</v>
      </c>
      <c r="J48" s="10">
        <f t="shared" si="7"/>
        <v>-545.31019199693355</v>
      </c>
      <c r="K48" s="10">
        <f t="shared" si="1"/>
        <v>136273.07563573789</v>
      </c>
      <c r="L48" s="11">
        <f>-($C$15/12+$C$17*$C$11/12+$C$18/12*(1+$C$19)^($F48-1)+$C$20*W48/12)</f>
        <v>-460.21671145833329</v>
      </c>
      <c r="M48" s="11"/>
      <c r="N48" s="11"/>
      <c r="O48" s="11">
        <f>H48+L48+M48+N48</f>
        <v>-1347.5728680246038</v>
      </c>
      <c r="P48" s="11"/>
      <c r="Q48" s="11">
        <f t="shared" si="2"/>
        <v>143884.88551296116</v>
      </c>
      <c r="R48" s="11">
        <f t="shared" si="3"/>
        <v>-902.02679999999998</v>
      </c>
      <c r="S48" s="11">
        <f t="shared" si="4"/>
        <v>445.54606802460387</v>
      </c>
      <c r="T48" s="11">
        <f t="shared" si="8"/>
        <v>21222.719816631758</v>
      </c>
      <c r="U48" s="12"/>
      <c r="V48" s="10">
        <f t="shared" si="10"/>
        <v>-100000</v>
      </c>
      <c r="W48" s="13">
        <f t="shared" si="5"/>
        <v>264915.09374999994</v>
      </c>
      <c r="X48" s="10">
        <f>K48</f>
        <v>136273.07563573789</v>
      </c>
      <c r="Y48" s="10">
        <f t="shared" si="13"/>
        <v>28642.018114262057</v>
      </c>
    </row>
    <row r="49" spans="4:25" x14ac:dyDescent="0.25">
      <c r="F49" s="2">
        <f t="shared" si="11"/>
        <v>4</v>
      </c>
      <c r="G49" s="2">
        <f t="shared" si="12"/>
        <v>11</v>
      </c>
      <c r="H49" s="10">
        <f t="shared" si="0"/>
        <v>-887.35615656627056</v>
      </c>
      <c r="I49" s="11">
        <f t="shared" si="9"/>
        <v>-340.68268908934471</v>
      </c>
      <c r="J49" s="10">
        <f t="shared" si="7"/>
        <v>-546.67346747692591</v>
      </c>
      <c r="K49" s="10">
        <f t="shared" si="1"/>
        <v>135726.40216826095</v>
      </c>
      <c r="L49" s="11">
        <f>-($C$15/12+$C$17*$C$11/12+$C$18/12*(1+$C$19)^($F49-1)+$C$20*W49/12)</f>
        <v>-460.21671145833329</v>
      </c>
      <c r="M49" s="11"/>
      <c r="N49" s="11"/>
      <c r="O49" s="11">
        <f>H49+L49+M49+N49</f>
        <v>-1347.5728680246038</v>
      </c>
      <c r="P49" s="11"/>
      <c r="Q49" s="11">
        <f t="shared" si="2"/>
        <v>144916.63641516166</v>
      </c>
      <c r="R49" s="11">
        <f t="shared" si="3"/>
        <v>-902.02679999999998</v>
      </c>
      <c r="S49" s="11">
        <f t="shared" si="4"/>
        <v>445.54606802460387</v>
      </c>
      <c r="T49" s="11">
        <f t="shared" si="8"/>
        <v>21668.265884656361</v>
      </c>
      <c r="U49" s="12"/>
      <c r="V49" s="10">
        <f t="shared" si="10"/>
        <v>-100000</v>
      </c>
      <c r="W49" s="13">
        <f t="shared" si="5"/>
        <v>264915.09374999994</v>
      </c>
      <c r="X49" s="10">
        <f>K49</f>
        <v>135726.40216826095</v>
      </c>
      <c r="Y49" s="10">
        <f t="shared" si="13"/>
        <v>29188.691581738996</v>
      </c>
    </row>
    <row r="50" spans="4:25" x14ac:dyDescent="0.25">
      <c r="F50" s="2">
        <f t="shared" si="11"/>
        <v>4</v>
      </c>
      <c r="G50" s="2">
        <f t="shared" si="12"/>
        <v>12</v>
      </c>
      <c r="H50" s="10">
        <f t="shared" si="0"/>
        <v>-887.35615656627056</v>
      </c>
      <c r="I50" s="11">
        <f t="shared" si="9"/>
        <v>-339.31600542065235</v>
      </c>
      <c r="J50" s="10">
        <f t="shared" si="7"/>
        <v>-548.04015114561821</v>
      </c>
      <c r="K50" s="10">
        <f t="shared" si="1"/>
        <v>135178.36201711532</v>
      </c>
      <c r="L50" s="11">
        <f>-($C$15/12+$C$17*$C$11/12+$C$18/12*(1+$C$19)^($F50-1)+$C$20*W50/12)</f>
        <v>-460.21671145833329</v>
      </c>
      <c r="M50" s="11"/>
      <c r="N50" s="11"/>
      <c r="O50" s="11">
        <f>H50+L50+M50+N50</f>
        <v>-1347.5728680246038</v>
      </c>
      <c r="P50" s="11"/>
      <c r="Q50" s="11">
        <f t="shared" si="2"/>
        <v>145952.59079825159</v>
      </c>
      <c r="R50" s="11">
        <f t="shared" si="3"/>
        <v>-902.02679999999998</v>
      </c>
      <c r="S50" s="11">
        <f t="shared" si="4"/>
        <v>445.54606802460387</v>
      </c>
      <c r="T50" s="11">
        <f t="shared" si="8"/>
        <v>22113.811952680964</v>
      </c>
      <c r="U50" s="12"/>
      <c r="V50" s="10">
        <f t="shared" si="10"/>
        <v>-100000</v>
      </c>
      <c r="W50" s="13">
        <f t="shared" si="5"/>
        <v>264915.09374999994</v>
      </c>
      <c r="X50" s="10">
        <f>K50</f>
        <v>135178.36201711532</v>
      </c>
      <c r="Y50" s="10">
        <f t="shared" si="13"/>
        <v>29736.731732884626</v>
      </c>
    </row>
    <row r="51" spans="4:25" x14ac:dyDescent="0.25">
      <c r="F51" s="2">
        <f t="shared" si="11"/>
        <v>5</v>
      </c>
      <c r="G51" s="2">
        <f t="shared" si="12"/>
        <v>1</v>
      </c>
      <c r="H51" s="10">
        <f t="shared" si="0"/>
        <v>-887.35615656627056</v>
      </c>
      <c r="I51" s="11">
        <f t="shared" si="9"/>
        <v>-337.9459050427883</v>
      </c>
      <c r="J51" s="10">
        <f t="shared" si="7"/>
        <v>-549.4102515234822</v>
      </c>
      <c r="K51" s="10">
        <f t="shared" si="1"/>
        <v>134628.95176559183</v>
      </c>
      <c r="L51" s="11">
        <f>-($C$15/12+$C$17*$C$11/12+$C$18/12*(1+$C$19)^($F51-1)+$C$20*W51/12)</f>
        <v>-467.85819191145822</v>
      </c>
      <c r="M51" s="11"/>
      <c r="N51" s="11"/>
      <c r="O51" s="11">
        <f>H51+L51+M51+N51</f>
        <v>-1355.2143484777289</v>
      </c>
      <c r="P51" s="11"/>
      <c r="Q51" s="11">
        <f t="shared" si="2"/>
        <v>146982.36673218559</v>
      </c>
      <c r="R51" s="11">
        <f t="shared" si="3"/>
        <v>-920.06733599999995</v>
      </c>
      <c r="S51" s="11">
        <f t="shared" si="4"/>
        <v>435.14701247772894</v>
      </c>
      <c r="T51" s="11">
        <f t="shared" si="8"/>
        <v>22548.958965158694</v>
      </c>
      <c r="U51" s="12"/>
      <c r="V51" s="10">
        <f t="shared" si="10"/>
        <v>-100000</v>
      </c>
      <c r="W51" s="13">
        <f t="shared" si="5"/>
        <v>271537.97109374992</v>
      </c>
      <c r="X51" s="10">
        <f>K51</f>
        <v>134628.95176559183</v>
      </c>
      <c r="Y51" s="10">
        <f t="shared" si="13"/>
        <v>36909.019328158087</v>
      </c>
    </row>
    <row r="52" spans="4:25" x14ac:dyDescent="0.25">
      <c r="F52" s="2">
        <f t="shared" si="11"/>
        <v>5</v>
      </c>
      <c r="G52" s="2">
        <f t="shared" si="12"/>
        <v>2</v>
      </c>
      <c r="H52" s="10">
        <f t="shared" si="0"/>
        <v>-887.35615656627056</v>
      </c>
      <c r="I52" s="11">
        <f t="shared" si="9"/>
        <v>-336.5723794139796</v>
      </c>
      <c r="J52" s="10">
        <f t="shared" si="7"/>
        <v>-550.7837771522909</v>
      </c>
      <c r="K52" s="10">
        <f t="shared" si="1"/>
        <v>134078.16798843953</v>
      </c>
      <c r="L52" s="11">
        <f>-($C$15/12+$C$17*$C$11/12+$C$18/12*(1+$C$19)^($F52-1)+$C$20*W52/12)</f>
        <v>-467.85819191145822</v>
      </c>
      <c r="M52" s="11"/>
      <c r="N52" s="11"/>
      <c r="O52" s="11">
        <f>H52+L52+M52+N52</f>
        <v>-1355.2143484777289</v>
      </c>
      <c r="P52" s="11"/>
      <c r="Q52" s="11">
        <f t="shared" si="2"/>
        <v>148016.33810074386</v>
      </c>
      <c r="R52" s="11">
        <f t="shared" si="3"/>
        <v>-920.06733599999995</v>
      </c>
      <c r="S52" s="11">
        <f t="shared" si="4"/>
        <v>435.14701247772894</v>
      </c>
      <c r="T52" s="11">
        <f t="shared" si="8"/>
        <v>22984.105977636424</v>
      </c>
      <c r="U52" s="12"/>
      <c r="V52" s="10">
        <f t="shared" si="10"/>
        <v>-100000</v>
      </c>
      <c r="W52" s="13">
        <f t="shared" si="5"/>
        <v>271537.97109374992</v>
      </c>
      <c r="X52" s="10">
        <f>K52</f>
        <v>134078.16798843953</v>
      </c>
      <c r="Y52" s="10">
        <f t="shared" si="13"/>
        <v>37459.803105310391</v>
      </c>
    </row>
    <row r="53" spans="4:25" x14ac:dyDescent="0.25">
      <c r="F53" s="2">
        <f t="shared" si="11"/>
        <v>5</v>
      </c>
      <c r="G53" s="2">
        <f t="shared" si="12"/>
        <v>3</v>
      </c>
      <c r="H53" s="10">
        <f t="shared" si="0"/>
        <v>-887.35615656627056</v>
      </c>
      <c r="I53" s="11">
        <f t="shared" si="9"/>
        <v>-335.19541997109883</v>
      </c>
      <c r="J53" s="10">
        <f t="shared" si="7"/>
        <v>-552.16073659517178</v>
      </c>
      <c r="K53" s="10">
        <f t="shared" si="1"/>
        <v>133526.00725184436</v>
      </c>
      <c r="L53" s="11">
        <f>-($C$15/12+$C$17*$C$11/12+$C$18/12*(1+$C$19)^($F53-1)+$C$20*W53/12)</f>
        <v>-467.85819191145822</v>
      </c>
      <c r="M53" s="11"/>
      <c r="N53" s="11"/>
      <c r="O53" s="11">
        <f>H53+L53+M53+N53</f>
        <v>-1355.2143484777289</v>
      </c>
      <c r="P53" s="11"/>
      <c r="Q53" s="11">
        <f t="shared" si="2"/>
        <v>149054.52199664636</v>
      </c>
      <c r="R53" s="11">
        <f t="shared" si="3"/>
        <v>-920.06733599999995</v>
      </c>
      <c r="S53" s="11">
        <f t="shared" si="4"/>
        <v>435.14701247772894</v>
      </c>
      <c r="T53" s="11">
        <f t="shared" si="8"/>
        <v>23419.252990114153</v>
      </c>
      <c r="U53" s="12"/>
      <c r="V53" s="10">
        <f t="shared" si="10"/>
        <v>-100000</v>
      </c>
      <c r="W53" s="13">
        <f t="shared" si="5"/>
        <v>271537.97109374992</v>
      </c>
      <c r="X53" s="10">
        <f>K53</f>
        <v>133526.00725184436</v>
      </c>
      <c r="Y53" s="10">
        <f t="shared" si="13"/>
        <v>38011.963841905555</v>
      </c>
    </row>
    <row r="54" spans="4:25" x14ac:dyDescent="0.25">
      <c r="F54" s="2">
        <f t="shared" si="11"/>
        <v>5</v>
      </c>
      <c r="G54" s="2">
        <f t="shared" si="12"/>
        <v>4</v>
      </c>
      <c r="H54" s="10">
        <f t="shared" si="0"/>
        <v>-887.35615656627056</v>
      </c>
      <c r="I54" s="11">
        <f t="shared" si="9"/>
        <v>-333.81501812961091</v>
      </c>
      <c r="J54" s="10">
        <f t="shared" si="7"/>
        <v>-553.54113843665959</v>
      </c>
      <c r="K54" s="10">
        <f t="shared" si="1"/>
        <v>132972.46611340772</v>
      </c>
      <c r="L54" s="11">
        <f>-($C$15/12+$C$17*$C$11/12+$C$18/12*(1+$C$19)^($F54-1)+$C$20*W54/12)</f>
        <v>-467.85819191145822</v>
      </c>
      <c r="M54" s="11"/>
      <c r="N54" s="11"/>
      <c r="O54" s="11">
        <f>H54+L54+M54+N54</f>
        <v>-1355.2143484777289</v>
      </c>
      <c r="P54" s="11"/>
      <c r="Q54" s="11">
        <f t="shared" si="2"/>
        <v>150096.93558225097</v>
      </c>
      <c r="R54" s="11">
        <f t="shared" si="3"/>
        <v>-920.06733599999995</v>
      </c>
      <c r="S54" s="11">
        <f t="shared" si="4"/>
        <v>435.14701247772894</v>
      </c>
      <c r="T54" s="11">
        <f t="shared" si="8"/>
        <v>23854.400002591883</v>
      </c>
      <c r="U54" s="12"/>
      <c r="V54" s="10">
        <f t="shared" si="10"/>
        <v>-100000</v>
      </c>
      <c r="W54" s="13">
        <f t="shared" si="5"/>
        <v>271537.97109374992</v>
      </c>
      <c r="X54" s="10">
        <f>K54</f>
        <v>132972.46611340772</v>
      </c>
      <c r="Y54" s="10">
        <f t="shared" si="13"/>
        <v>38565.504980342201</v>
      </c>
    </row>
    <row r="55" spans="4:25" x14ac:dyDescent="0.25">
      <c r="F55" s="2">
        <f t="shared" si="11"/>
        <v>5</v>
      </c>
      <c r="G55" s="2">
        <f t="shared" si="12"/>
        <v>5</v>
      </c>
      <c r="H55" s="10">
        <f t="shared" si="0"/>
        <v>-887.35615656627056</v>
      </c>
      <c r="I55" s="11">
        <f t="shared" si="9"/>
        <v>-332.43116528351931</v>
      </c>
      <c r="J55" s="10">
        <f t="shared" si="7"/>
        <v>-554.92499128275131</v>
      </c>
      <c r="K55" s="10">
        <f t="shared" si="1"/>
        <v>132417.54112212497</v>
      </c>
      <c r="L55" s="11">
        <f>-($C$15/12+$C$17*$C$11/12+$C$18/12*(1+$C$19)^($F55-1)+$C$20*W55/12)</f>
        <v>-467.85819191145822</v>
      </c>
      <c r="M55" s="11"/>
      <c r="N55" s="11"/>
      <c r="O55" s="11">
        <f>H55+L55+M55+N55</f>
        <v>-1355.2143484777289</v>
      </c>
      <c r="P55" s="11"/>
      <c r="Q55" s="11">
        <f t="shared" si="2"/>
        <v>151143.59608983708</v>
      </c>
      <c r="R55" s="11">
        <f t="shared" si="3"/>
        <v>-920.06733599999995</v>
      </c>
      <c r="S55" s="11">
        <f t="shared" si="4"/>
        <v>435.14701247772894</v>
      </c>
      <c r="T55" s="11">
        <f t="shared" si="8"/>
        <v>24289.547015069613</v>
      </c>
      <c r="U55" s="12"/>
      <c r="V55" s="10">
        <f t="shared" si="10"/>
        <v>-100000</v>
      </c>
      <c r="W55" s="13">
        <f t="shared" si="5"/>
        <v>271537.97109374992</v>
      </c>
      <c r="X55" s="10">
        <f>K55</f>
        <v>132417.54112212497</v>
      </c>
      <c r="Y55" s="10">
        <f t="shared" si="13"/>
        <v>39120.429971624952</v>
      </c>
    </row>
    <row r="56" spans="4:25" x14ac:dyDescent="0.25">
      <c r="F56" s="2">
        <f t="shared" si="11"/>
        <v>5</v>
      </c>
      <c r="G56" s="2">
        <f t="shared" si="12"/>
        <v>6</v>
      </c>
      <c r="H56" s="10">
        <f t="shared" si="0"/>
        <v>-887.35615656627056</v>
      </c>
      <c r="I56" s="11">
        <f t="shared" si="9"/>
        <v>-331.04385280531244</v>
      </c>
      <c r="J56" s="10">
        <f t="shared" si="7"/>
        <v>-556.31230376095812</v>
      </c>
      <c r="K56" s="10">
        <f t="shared" si="1"/>
        <v>131861.228818364</v>
      </c>
      <c r="L56" s="11">
        <f>-($C$15/12+$C$17*$C$11/12+$C$18/12*(1+$C$19)^($F56-1)+$C$20*W56/12)</f>
        <v>-467.85819191145822</v>
      </c>
      <c r="M56" s="11"/>
      <c r="N56" s="11"/>
      <c r="O56" s="11">
        <f>H56+L56+M56+N56</f>
        <v>-1355.2143484777289</v>
      </c>
      <c r="P56" s="11"/>
      <c r="Q56" s="11">
        <f t="shared" si="2"/>
        <v>152194.52082189056</v>
      </c>
      <c r="R56" s="11">
        <f t="shared" si="3"/>
        <v>-920.06733599999995</v>
      </c>
      <c r="S56" s="11">
        <f t="shared" si="4"/>
        <v>435.14701247772894</v>
      </c>
      <c r="T56" s="11">
        <f t="shared" si="8"/>
        <v>24724.694027547343</v>
      </c>
      <c r="U56" s="12"/>
      <c r="V56" s="10">
        <f t="shared" si="10"/>
        <v>-100000</v>
      </c>
      <c r="W56" s="13">
        <f t="shared" si="5"/>
        <v>271537.97109374992</v>
      </c>
      <c r="X56" s="10">
        <f>K56</f>
        <v>131861.228818364</v>
      </c>
      <c r="Y56" s="10">
        <f t="shared" si="13"/>
        <v>39676.742275385914</v>
      </c>
    </row>
    <row r="57" spans="4:25" x14ac:dyDescent="0.25">
      <c r="F57" s="2">
        <f t="shared" si="11"/>
        <v>5</v>
      </c>
      <c r="G57" s="2">
        <f t="shared" si="12"/>
        <v>7</v>
      </c>
      <c r="H57" s="10">
        <f t="shared" si="0"/>
        <v>-887.35615656627056</v>
      </c>
      <c r="I57" s="11">
        <f t="shared" si="9"/>
        <v>-329.65307204590999</v>
      </c>
      <c r="J57" s="10">
        <f t="shared" si="7"/>
        <v>-557.70308452036056</v>
      </c>
      <c r="K57" s="10">
        <f t="shared" si="1"/>
        <v>131303.52573384365</v>
      </c>
      <c r="L57" s="11">
        <f>-($C$15/12+$C$17*$C$11/12+$C$18/12*(1+$C$19)^($F57-1)+$C$20*W57/12)</f>
        <v>-467.85819191145822</v>
      </c>
      <c r="M57" s="11"/>
      <c r="N57" s="11"/>
      <c r="O57" s="11">
        <f>H57+L57+M57+N57</f>
        <v>-1355.2143484777289</v>
      </c>
      <c r="P57" s="11"/>
      <c r="Q57" s="11">
        <f t="shared" si="2"/>
        <v>153249.72715138973</v>
      </c>
      <c r="R57" s="11">
        <f t="shared" si="3"/>
        <v>-920.06733599999995</v>
      </c>
      <c r="S57" s="11">
        <f t="shared" si="4"/>
        <v>435.14701247772894</v>
      </c>
      <c r="T57" s="11">
        <f t="shared" si="8"/>
        <v>25159.841040025072</v>
      </c>
      <c r="U57" s="12"/>
      <c r="V57" s="10">
        <f t="shared" si="10"/>
        <v>-100000</v>
      </c>
      <c r="W57" s="13">
        <f t="shared" si="5"/>
        <v>271537.97109374992</v>
      </c>
      <c r="X57" s="10">
        <f>K57</f>
        <v>131303.52573384365</v>
      </c>
      <c r="Y57" s="10">
        <f t="shared" si="13"/>
        <v>40234.445359906269</v>
      </c>
    </row>
    <row r="58" spans="4:25" x14ac:dyDescent="0.25">
      <c r="F58" s="2">
        <f t="shared" si="11"/>
        <v>5</v>
      </c>
      <c r="G58" s="2">
        <f t="shared" si="12"/>
        <v>8</v>
      </c>
      <c r="H58" s="10">
        <f t="shared" si="0"/>
        <v>-887.35615656627056</v>
      </c>
      <c r="I58" s="11">
        <f t="shared" si="9"/>
        <v>-328.25881433460916</v>
      </c>
      <c r="J58" s="10">
        <f t="shared" si="7"/>
        <v>-559.0973422316614</v>
      </c>
      <c r="K58" s="10">
        <f t="shared" si="1"/>
        <v>130744.42839161199</v>
      </c>
      <c r="L58" s="11">
        <f>-($C$15/12+$C$17*$C$11/12+$C$18/12*(1+$C$19)^($F58-1)+$C$20*W58/12)</f>
        <v>-467.85819191145822</v>
      </c>
      <c r="M58" s="11"/>
      <c r="N58" s="11"/>
      <c r="O58" s="11">
        <f>H58+L58+M58+N58</f>
        <v>-1355.2143484777289</v>
      </c>
      <c r="P58" s="11"/>
      <c r="Q58" s="11">
        <f t="shared" si="2"/>
        <v>154309.23252209256</v>
      </c>
      <c r="R58" s="11">
        <f t="shared" si="3"/>
        <v>-920.06733599999995</v>
      </c>
      <c r="S58" s="11">
        <f t="shared" si="4"/>
        <v>435.14701247772894</v>
      </c>
      <c r="T58" s="11">
        <f t="shared" si="8"/>
        <v>25594.988052502802</v>
      </c>
      <c r="U58" s="12"/>
      <c r="V58" s="10">
        <f t="shared" si="10"/>
        <v>-100000</v>
      </c>
      <c r="W58" s="13">
        <f t="shared" si="5"/>
        <v>271537.97109374992</v>
      </c>
      <c r="X58" s="10">
        <f>K58</f>
        <v>130744.42839161199</v>
      </c>
      <c r="Y58" s="10">
        <f t="shared" si="13"/>
        <v>40793.542702137929</v>
      </c>
    </row>
    <row r="59" spans="4:25" x14ac:dyDescent="0.25">
      <c r="F59" s="2">
        <f t="shared" si="11"/>
        <v>5</v>
      </c>
      <c r="G59" s="2">
        <f t="shared" si="12"/>
        <v>9</v>
      </c>
      <c r="H59" s="10">
        <f t="shared" si="0"/>
        <v>-887.35615656627056</v>
      </c>
      <c r="I59" s="11">
        <f t="shared" si="9"/>
        <v>-326.86107097902999</v>
      </c>
      <c r="J59" s="10">
        <f t="shared" si="7"/>
        <v>-560.49508558724051</v>
      </c>
      <c r="K59" s="10">
        <f t="shared" si="1"/>
        <v>130183.93330602474</v>
      </c>
      <c r="L59" s="11">
        <f>-($C$15/12+$C$17*$C$11/12+$C$18/12*(1+$C$19)^($F59-1)+$C$20*W59/12)</f>
        <v>-467.85819191145822</v>
      </c>
      <c r="M59" s="11"/>
      <c r="N59" s="11"/>
      <c r="O59" s="11">
        <f>H59+L59+M59+N59</f>
        <v>-1355.2143484777289</v>
      </c>
      <c r="P59" s="11"/>
      <c r="Q59" s="11">
        <f t="shared" si="2"/>
        <v>155373.05444882507</v>
      </c>
      <c r="R59" s="11">
        <f t="shared" si="3"/>
        <v>-920.06733599999995</v>
      </c>
      <c r="S59" s="11">
        <f t="shared" si="4"/>
        <v>435.14701247772894</v>
      </c>
      <c r="T59" s="11">
        <f t="shared" si="8"/>
        <v>26030.135064980532</v>
      </c>
      <c r="U59" s="12"/>
      <c r="V59" s="10">
        <f t="shared" si="10"/>
        <v>-100000</v>
      </c>
      <c r="W59" s="13">
        <f t="shared" si="5"/>
        <v>271537.97109374992</v>
      </c>
      <c r="X59" s="10">
        <f>K59</f>
        <v>130183.93330602474</v>
      </c>
      <c r="Y59" s="10">
        <f t="shared" si="13"/>
        <v>41354.037787725159</v>
      </c>
    </row>
    <row r="60" spans="4:25" x14ac:dyDescent="0.25">
      <c r="F60" s="2">
        <f t="shared" si="11"/>
        <v>5</v>
      </c>
      <c r="G60" s="2">
        <f t="shared" si="12"/>
        <v>10</v>
      </c>
      <c r="H60" s="10">
        <f t="shared" si="0"/>
        <v>-887.35615656627056</v>
      </c>
      <c r="I60" s="11">
        <f t="shared" si="9"/>
        <v>-325.45983326506189</v>
      </c>
      <c r="J60" s="10">
        <f t="shared" si="7"/>
        <v>-561.89632330120867</v>
      </c>
      <c r="K60" s="10">
        <f t="shared" si="1"/>
        <v>129622.03698272354</v>
      </c>
      <c r="L60" s="11">
        <f>-($C$15/12+$C$17*$C$11/12+$C$18/12*(1+$C$19)^($F60-1)+$C$20*W60/12)</f>
        <v>-467.85819191145822</v>
      </c>
      <c r="M60" s="11"/>
      <c r="N60" s="11"/>
      <c r="O60" s="11">
        <f>H60+L60+M60+N60</f>
        <v>-1355.2143484777289</v>
      </c>
      <c r="P60" s="11"/>
      <c r="Q60" s="11">
        <f t="shared" si="2"/>
        <v>156441.21051777087</v>
      </c>
      <c r="R60" s="11">
        <f t="shared" si="3"/>
        <v>-920.06733599999995</v>
      </c>
      <c r="S60" s="11">
        <f t="shared" si="4"/>
        <v>435.14701247772894</v>
      </c>
      <c r="T60" s="11">
        <f t="shared" si="8"/>
        <v>26465.282077458261</v>
      </c>
      <c r="U60" s="12"/>
      <c r="V60" s="10">
        <f t="shared" si="10"/>
        <v>-100000</v>
      </c>
      <c r="W60" s="13">
        <f t="shared" si="5"/>
        <v>271537.97109374992</v>
      </c>
      <c r="X60" s="10">
        <f>K60</f>
        <v>129622.03698272354</v>
      </c>
      <c r="Y60" s="10">
        <f t="shared" si="13"/>
        <v>41915.934111026378</v>
      </c>
    </row>
    <row r="61" spans="4:25" x14ac:dyDescent="0.25">
      <c r="F61" s="2">
        <f t="shared" si="11"/>
        <v>5</v>
      </c>
      <c r="G61" s="2">
        <f t="shared" si="12"/>
        <v>11</v>
      </c>
      <c r="H61" s="10">
        <f t="shared" si="0"/>
        <v>-887.35615656627056</v>
      </c>
      <c r="I61" s="11">
        <f t="shared" si="9"/>
        <v>-324.05509245680884</v>
      </c>
      <c r="J61" s="10">
        <f t="shared" si="7"/>
        <v>-563.30106410946178</v>
      </c>
      <c r="K61" s="10">
        <f t="shared" si="1"/>
        <v>129058.73591861408</v>
      </c>
      <c r="L61" s="11">
        <f>-($C$15/12+$C$17*$C$11/12+$C$18/12*(1+$C$19)^($F61-1)+$C$20*W61/12)</f>
        <v>-467.85819191145822</v>
      </c>
      <c r="M61" s="11"/>
      <c r="N61" s="11"/>
      <c r="O61" s="11">
        <f>H61+L61+M61+N61</f>
        <v>-1355.2143484777289</v>
      </c>
      <c r="P61" s="11"/>
      <c r="Q61" s="11">
        <f t="shared" si="2"/>
        <v>157513.71838676182</v>
      </c>
      <c r="R61" s="11">
        <f t="shared" si="3"/>
        <v>-920.06733599999995</v>
      </c>
      <c r="S61" s="11">
        <f t="shared" si="4"/>
        <v>435.14701247772894</v>
      </c>
      <c r="T61" s="11">
        <f t="shared" si="8"/>
        <v>26900.429089935991</v>
      </c>
      <c r="U61" s="12"/>
      <c r="V61" s="10">
        <f t="shared" si="10"/>
        <v>-100000</v>
      </c>
      <c r="W61" s="13">
        <f t="shared" si="5"/>
        <v>271537.97109374992</v>
      </c>
      <c r="X61" s="10">
        <f>K61</f>
        <v>129058.73591861408</v>
      </c>
      <c r="Y61" s="10">
        <f t="shared" si="13"/>
        <v>42479.235175135836</v>
      </c>
    </row>
    <row r="62" spans="4:25" x14ac:dyDescent="0.25">
      <c r="F62" s="2">
        <f t="shared" si="11"/>
        <v>5</v>
      </c>
      <c r="G62" s="2">
        <f t="shared" si="12"/>
        <v>12</v>
      </c>
      <c r="H62" s="10">
        <f t="shared" si="0"/>
        <v>-887.35615656627056</v>
      </c>
      <c r="I62" s="11">
        <f t="shared" si="9"/>
        <v>-322.64683979653523</v>
      </c>
      <c r="J62" s="10">
        <f t="shared" si="7"/>
        <v>-564.70931676973532</v>
      </c>
      <c r="K62" s="10">
        <f t="shared" si="1"/>
        <v>128494.02660184435</v>
      </c>
      <c r="L62" s="11">
        <f>-($C$15/12+$C$17*$C$11/12+$C$18/12*(1+$C$19)^($F62-1)+$C$20*W62/12)</f>
        <v>-467.85819191145822</v>
      </c>
      <c r="M62" s="11"/>
      <c r="N62" s="11"/>
      <c r="O62" s="11">
        <f>H62+L62+M62+N62</f>
        <v>-1355.2143484777289</v>
      </c>
      <c r="P62" s="11"/>
      <c r="Q62" s="11">
        <f t="shared" si="2"/>
        <v>158590.59578556995</v>
      </c>
      <c r="R62" s="11">
        <f t="shared" si="3"/>
        <v>-920.06733599999995</v>
      </c>
      <c r="S62" s="11">
        <f t="shared" si="4"/>
        <v>435.14701247772894</v>
      </c>
      <c r="T62" s="11">
        <f t="shared" si="8"/>
        <v>27335.576102413721</v>
      </c>
      <c r="U62" s="12"/>
      <c r="V62" s="10">
        <f>V61+U62</f>
        <v>-100000</v>
      </c>
      <c r="W62" s="13">
        <f t="shared" si="5"/>
        <v>271537.97109374992</v>
      </c>
      <c r="X62" s="10">
        <f>K62</f>
        <v>128494.02660184435</v>
      </c>
      <c r="Y62" s="10">
        <f t="shared" si="13"/>
        <v>43043.944491905568</v>
      </c>
    </row>
    <row r="63" spans="4:25" x14ac:dyDescent="0.25">
      <c r="D63" s="18" t="s">
        <v>49</v>
      </c>
      <c r="F63" s="2">
        <f t="shared" si="11"/>
        <v>6</v>
      </c>
      <c r="G63" s="2">
        <f t="shared" si="12"/>
        <v>1</v>
      </c>
      <c r="H63" s="10">
        <f t="shared" si="0"/>
        <v>-887.35615656627056</v>
      </c>
      <c r="I63" s="11">
        <f t="shared" ref="I63:I122" si="14">-K62*$D$12</f>
        <v>-321.23506650461087</v>
      </c>
      <c r="J63" s="10">
        <f t="shared" ref="J63:J122" si="15">H63-I63</f>
        <v>-566.12109006165974</v>
      </c>
      <c r="K63" s="10">
        <f t="shared" ref="K63:K122" si="16">K62+J63</f>
        <v>127927.90551178269</v>
      </c>
      <c r="L63" s="11">
        <f>-($C$15/12+$C$17*$C$11/12+$C$18/12*(1+$C$19)^($F63-1)+$C$20*W63/12)-N63*$C$37</f>
        <v>-527.48356858205545</v>
      </c>
      <c r="M63" s="11">
        <f>-$C$34*(1+$C$35)^($F63-1)</f>
        <v>-938.46868272000006</v>
      </c>
      <c r="N63" s="11">
        <f>$C$34*(1+$C$35)^($F63-1)*$C$36</f>
        <v>863.39118810240006</v>
      </c>
      <c r="O63" s="11">
        <f>H63+L63+M63+N63</f>
        <v>-1489.9172197659259</v>
      </c>
      <c r="P63" s="11"/>
      <c r="Q63" s="11">
        <f t="shared" si="2"/>
        <v>159788.16204076883</v>
      </c>
      <c r="R63" s="11">
        <f t="shared" si="3"/>
        <v>-938.46868272000006</v>
      </c>
      <c r="S63" s="11">
        <f>R63-O63</f>
        <v>551.44853704592583</v>
      </c>
      <c r="T63" s="11">
        <f t="shared" si="8"/>
        <v>27887.024639459647</v>
      </c>
      <c r="U63" s="12"/>
      <c r="V63" s="10">
        <f t="shared" ref="V63:V122" si="17">V62+U63</f>
        <v>-100000</v>
      </c>
      <c r="W63" s="13">
        <f t="shared" si="5"/>
        <v>278326.42037109367</v>
      </c>
      <c r="X63" s="10">
        <f>K63</f>
        <v>127927.90551178269</v>
      </c>
      <c r="Y63" s="10">
        <f t="shared" ref="Y63:Y122" si="18">W63-X63+V63</f>
        <v>50398.514859310992</v>
      </c>
    </row>
    <row r="64" spans="4:25" x14ac:dyDescent="0.25">
      <c r="F64" s="2">
        <f t="shared" si="11"/>
        <v>6</v>
      </c>
      <c r="G64" s="2">
        <f t="shared" si="12"/>
        <v>2</v>
      </c>
      <c r="H64" s="10">
        <f t="shared" si="0"/>
        <v>-887.35615656627056</v>
      </c>
      <c r="I64" s="11">
        <f t="shared" si="14"/>
        <v>-319.81976377945676</v>
      </c>
      <c r="J64" s="10">
        <f t="shared" si="15"/>
        <v>-567.53639278681385</v>
      </c>
      <c r="K64" s="10">
        <f t="shared" si="16"/>
        <v>127360.36911899588</v>
      </c>
      <c r="L64" s="11">
        <f>-($C$15/12+$C$17*$C$11/12+$C$18/12*(1+$C$19)^($F64-1)+$C$20*W64/12)-N64*$C$37</f>
        <v>-527.48356858205545</v>
      </c>
      <c r="M64" s="11">
        <f t="shared" ref="M64:M122" si="19">-$C$34*(1+$C$35)^($F64-1)</f>
        <v>-938.46868272000006</v>
      </c>
      <c r="N64" s="11">
        <f t="shared" ref="N64:N122" si="20">$C$34*(1+$C$35)^($F64-1)*$C$36</f>
        <v>863.39118810240006</v>
      </c>
      <c r="O64" s="11">
        <f>H64+L64+M64+N64</f>
        <v>-1489.9172197659259</v>
      </c>
      <c r="P64" s="11"/>
      <c r="Q64" s="11">
        <f t="shared" si="2"/>
        <v>160990.60732913049</v>
      </c>
      <c r="R64" s="11">
        <f t="shared" si="3"/>
        <v>-938.46868272000006</v>
      </c>
      <c r="S64" s="11">
        <f t="shared" si="4"/>
        <v>551.44853704592583</v>
      </c>
      <c r="T64" s="11">
        <f t="shared" si="8"/>
        <v>28438.473176505573</v>
      </c>
      <c r="U64" s="12"/>
      <c r="V64" s="10">
        <f t="shared" si="17"/>
        <v>-100000</v>
      </c>
      <c r="W64" s="13">
        <f t="shared" si="5"/>
        <v>278326.42037109367</v>
      </c>
      <c r="X64" s="10">
        <f>K64</f>
        <v>127360.36911899588</v>
      </c>
      <c r="Y64" s="10">
        <f t="shared" si="18"/>
        <v>50966.051252097794</v>
      </c>
    </row>
    <row r="65" spans="3:25" x14ac:dyDescent="0.25">
      <c r="F65" s="2">
        <f t="shared" si="11"/>
        <v>6</v>
      </c>
      <c r="G65" s="2">
        <f t="shared" si="12"/>
        <v>3</v>
      </c>
      <c r="H65" s="10">
        <f t="shared" si="0"/>
        <v>-887.35615656627056</v>
      </c>
      <c r="I65" s="11">
        <f t="shared" si="14"/>
        <v>-318.40092279748973</v>
      </c>
      <c r="J65" s="10">
        <f t="shared" si="15"/>
        <v>-568.95523376878077</v>
      </c>
      <c r="K65" s="10">
        <f t="shared" si="16"/>
        <v>126791.4138852271</v>
      </c>
      <c r="L65" s="11">
        <f>-($C$15/12+$C$17*$C$11/12+$C$18/12*(1+$C$19)^($F65-1)+$C$20*W65/12)-N65*$C$37</f>
        <v>-527.48356858205545</v>
      </c>
      <c r="M65" s="11">
        <f t="shared" si="19"/>
        <v>-938.46868272000006</v>
      </c>
      <c r="N65" s="11">
        <f t="shared" si="20"/>
        <v>863.39118810240006</v>
      </c>
      <c r="O65" s="11">
        <f>H65+L65+M65+N65</f>
        <v>-1489.9172197659259</v>
      </c>
      <c r="P65" s="11"/>
      <c r="Q65" s="11">
        <f t="shared" si="2"/>
        <v>162197.95152844003</v>
      </c>
      <c r="R65" s="11">
        <f t="shared" si="3"/>
        <v>-938.46868272000006</v>
      </c>
      <c r="S65" s="11">
        <f t="shared" si="4"/>
        <v>551.44853704592583</v>
      </c>
      <c r="T65" s="11">
        <f t="shared" si="8"/>
        <v>28989.921713551499</v>
      </c>
      <c r="U65" s="12"/>
      <c r="V65" s="10">
        <f t="shared" si="17"/>
        <v>-100000</v>
      </c>
      <c r="W65" s="13">
        <f t="shared" si="5"/>
        <v>278326.42037109367</v>
      </c>
      <c r="X65" s="10">
        <f>K65</f>
        <v>126791.4138852271</v>
      </c>
      <c r="Y65" s="10">
        <f t="shared" si="18"/>
        <v>51535.006485866557</v>
      </c>
    </row>
    <row r="66" spans="3:25" x14ac:dyDescent="0.25">
      <c r="C66" s="3"/>
      <c r="F66" s="2">
        <f t="shared" si="11"/>
        <v>6</v>
      </c>
      <c r="G66" s="2">
        <f t="shared" si="12"/>
        <v>4</v>
      </c>
      <c r="H66" s="10">
        <f t="shared" si="0"/>
        <v>-887.35615656627056</v>
      </c>
      <c r="I66" s="11">
        <f t="shared" si="14"/>
        <v>-316.97853471306775</v>
      </c>
      <c r="J66" s="10">
        <f t="shared" si="15"/>
        <v>-570.37762185320275</v>
      </c>
      <c r="K66" s="10">
        <f t="shared" si="16"/>
        <v>126221.0362633739</v>
      </c>
      <c r="L66" s="11">
        <f>-($C$15/12+$C$17*$C$11/12+$C$18/12*(1+$C$19)^($F66-1)+$C$20*W66/12)-N66*$C$37</f>
        <v>-527.48356858205545</v>
      </c>
      <c r="M66" s="11">
        <f t="shared" si="19"/>
        <v>-938.46868272000006</v>
      </c>
      <c r="N66" s="11">
        <f t="shared" si="20"/>
        <v>863.39118810240006</v>
      </c>
      <c r="O66" s="11">
        <f>H66+L66+M66+N66</f>
        <v>-1489.9172197659259</v>
      </c>
      <c r="P66" s="11"/>
      <c r="Q66" s="11">
        <f t="shared" si="2"/>
        <v>163410.21459746701</v>
      </c>
      <c r="R66" s="11">
        <f t="shared" si="3"/>
        <v>-938.46868272000006</v>
      </c>
      <c r="S66" s="11">
        <f t="shared" si="4"/>
        <v>551.44853704592583</v>
      </c>
      <c r="T66" s="11">
        <f t="shared" si="8"/>
        <v>29541.370250597425</v>
      </c>
      <c r="U66" s="12"/>
      <c r="V66" s="10">
        <f t="shared" si="17"/>
        <v>-100000</v>
      </c>
      <c r="W66" s="13">
        <f t="shared" si="5"/>
        <v>278326.42037109367</v>
      </c>
      <c r="X66" s="10">
        <f>K66</f>
        <v>126221.0362633739</v>
      </c>
      <c r="Y66" s="10">
        <f t="shared" si="18"/>
        <v>52105.384107719758</v>
      </c>
    </row>
    <row r="67" spans="3:25" x14ac:dyDescent="0.25">
      <c r="C67" s="3"/>
      <c r="F67" s="2">
        <f t="shared" si="11"/>
        <v>6</v>
      </c>
      <c r="G67" s="2">
        <f t="shared" si="12"/>
        <v>5</v>
      </c>
      <c r="H67" s="10">
        <f t="shared" ref="H67:H122" si="21">-$C$14</f>
        <v>-887.35615656627056</v>
      </c>
      <c r="I67" s="11">
        <f t="shared" si="14"/>
        <v>-315.55259065843478</v>
      </c>
      <c r="J67" s="10">
        <f t="shared" si="15"/>
        <v>-571.80356590783572</v>
      </c>
      <c r="K67" s="10">
        <f t="shared" si="16"/>
        <v>125649.23269746607</v>
      </c>
      <c r="L67" s="11">
        <f>-($C$15/12+$C$17*$C$11/12+$C$18/12*(1+$C$19)^($F67-1)+$C$20*W67/12)-N67*$C$37</f>
        <v>-527.48356858205545</v>
      </c>
      <c r="M67" s="11">
        <f t="shared" si="19"/>
        <v>-938.46868272000006</v>
      </c>
      <c r="N67" s="11">
        <f t="shared" si="20"/>
        <v>863.39118810240006</v>
      </c>
      <c r="O67" s="11">
        <f>H67+L67+M67+N67</f>
        <v>-1489.9172197659259</v>
      </c>
      <c r="P67" s="11"/>
      <c r="Q67" s="11">
        <f t="shared" si="2"/>
        <v>164627.41657629554</v>
      </c>
      <c r="R67" s="11">
        <f t="shared" si="3"/>
        <v>-938.46868272000006</v>
      </c>
      <c r="S67" s="11">
        <f t="shared" si="4"/>
        <v>551.44853704592583</v>
      </c>
      <c r="T67" s="11">
        <f t="shared" si="8"/>
        <v>30092.818787643351</v>
      </c>
      <c r="U67" s="12"/>
      <c r="V67" s="10">
        <f t="shared" si="17"/>
        <v>-100000</v>
      </c>
      <c r="W67" s="13">
        <f t="shared" si="5"/>
        <v>278326.42037109367</v>
      </c>
      <c r="X67" s="10">
        <f>K67</f>
        <v>125649.23269746607</v>
      </c>
      <c r="Y67" s="10">
        <f t="shared" si="18"/>
        <v>52677.187673627603</v>
      </c>
    </row>
    <row r="68" spans="3:25" x14ac:dyDescent="0.25">
      <c r="F68" s="2">
        <f t="shared" si="11"/>
        <v>6</v>
      </c>
      <c r="G68" s="2">
        <f t="shared" si="12"/>
        <v>6</v>
      </c>
      <c r="H68" s="10">
        <f t="shared" si="21"/>
        <v>-887.35615656627056</v>
      </c>
      <c r="I68" s="11">
        <f t="shared" si="14"/>
        <v>-314.12308174366518</v>
      </c>
      <c r="J68" s="10">
        <f t="shared" si="15"/>
        <v>-573.23307482260543</v>
      </c>
      <c r="K68" s="10">
        <f t="shared" si="16"/>
        <v>125075.99962264346</v>
      </c>
      <c r="L68" s="11">
        <f>-($C$15/12+$C$17*$C$11/12+$C$18/12*(1+$C$19)^($F68-1)+$C$20*W68/12)-N68*$C$37</f>
        <v>-527.48356858205545</v>
      </c>
      <c r="M68" s="11">
        <f t="shared" si="19"/>
        <v>-938.46868272000006</v>
      </c>
      <c r="N68" s="11">
        <f t="shared" si="20"/>
        <v>863.39118810240006</v>
      </c>
      <c r="O68" s="11">
        <f>H68+L68+M68+N68</f>
        <v>-1489.9172197659259</v>
      </c>
      <c r="P68" s="11"/>
      <c r="Q68" s="11">
        <f t="shared" ref="Q68:Q122" si="22">Q67*(1+$D$32)+S68</f>
        <v>165849.57758665553</v>
      </c>
      <c r="R68" s="11">
        <f t="shared" ref="R68:R122" si="23">-$C$34*(1+$C$35)^($F68-1)</f>
        <v>-938.46868272000006</v>
      </c>
      <c r="S68" s="11">
        <f t="shared" ref="S68:S122" si="24">R68-O68</f>
        <v>551.44853704592583</v>
      </c>
      <c r="T68" s="11">
        <f t="shared" si="8"/>
        <v>30644.267324689277</v>
      </c>
      <c r="U68" s="12"/>
      <c r="V68" s="10">
        <f t="shared" si="17"/>
        <v>-100000</v>
      </c>
      <c r="W68" s="13">
        <f t="shared" ref="W68:W122" si="25">$C$4*(1+$C$21)^($F68)</f>
        <v>278326.42037109367</v>
      </c>
      <c r="X68" s="10">
        <f>K68</f>
        <v>125075.99962264346</v>
      </c>
      <c r="Y68" s="10">
        <f t="shared" si="18"/>
        <v>53250.420748450211</v>
      </c>
    </row>
    <row r="69" spans="3:25" x14ac:dyDescent="0.25">
      <c r="F69" s="2">
        <f t="shared" si="11"/>
        <v>6</v>
      </c>
      <c r="G69" s="2">
        <f t="shared" si="12"/>
        <v>7</v>
      </c>
      <c r="H69" s="10">
        <f t="shared" si="21"/>
        <v>-887.35615656627056</v>
      </c>
      <c r="I69" s="11">
        <f t="shared" si="14"/>
        <v>-312.68999905660866</v>
      </c>
      <c r="J69" s="10">
        <f t="shared" si="15"/>
        <v>-574.66615750966184</v>
      </c>
      <c r="K69" s="10">
        <f t="shared" si="16"/>
        <v>124501.33346513379</v>
      </c>
      <c r="L69" s="11">
        <f>-($C$15/12+$C$17*$C$11/12+$C$18/12*(1+$C$19)^($F69-1)+$C$20*W69/12)-N69*$C$37</f>
        <v>-527.48356858205545</v>
      </c>
      <c r="M69" s="11">
        <f t="shared" si="19"/>
        <v>-938.46868272000006</v>
      </c>
      <c r="N69" s="11">
        <f t="shared" si="20"/>
        <v>863.39118810240006</v>
      </c>
      <c r="O69" s="11">
        <f>H69+L69+M69+N69</f>
        <v>-1489.9172197659259</v>
      </c>
      <c r="P69" s="11"/>
      <c r="Q69" s="11">
        <f t="shared" si="22"/>
        <v>167076.71783225526</v>
      </c>
      <c r="R69" s="11">
        <f t="shared" si="23"/>
        <v>-938.46868272000006</v>
      </c>
      <c r="S69" s="11">
        <f t="shared" si="24"/>
        <v>551.44853704592583</v>
      </c>
      <c r="T69" s="11">
        <f t="shared" ref="T69:T122" si="26">S69+T68</f>
        <v>31195.715861735203</v>
      </c>
      <c r="U69" s="12"/>
      <c r="V69" s="10">
        <f t="shared" si="17"/>
        <v>-100000</v>
      </c>
      <c r="W69" s="13">
        <f t="shared" si="25"/>
        <v>278326.42037109367</v>
      </c>
      <c r="X69" s="10">
        <f>K69</f>
        <v>124501.33346513379</v>
      </c>
      <c r="Y69" s="10">
        <f t="shared" si="18"/>
        <v>53825.086905959877</v>
      </c>
    </row>
    <row r="70" spans="3:25" x14ac:dyDescent="0.25">
      <c r="F70" s="2">
        <f t="shared" si="11"/>
        <v>6</v>
      </c>
      <c r="G70" s="2">
        <f t="shared" si="12"/>
        <v>8</v>
      </c>
      <c r="H70" s="10">
        <f t="shared" si="21"/>
        <v>-887.35615656627056</v>
      </c>
      <c r="I70" s="11">
        <f t="shared" si="14"/>
        <v>-311.25333366283451</v>
      </c>
      <c r="J70" s="10">
        <f t="shared" si="15"/>
        <v>-576.10282290343605</v>
      </c>
      <c r="K70" s="10">
        <f t="shared" si="16"/>
        <v>123925.23064223035</v>
      </c>
      <c r="L70" s="11">
        <f>-($C$15/12+$C$17*$C$11/12+$C$18/12*(1+$C$19)^($F70-1)+$C$20*W70/12)-N70*$C$37</f>
        <v>-527.48356858205545</v>
      </c>
      <c r="M70" s="11">
        <f t="shared" si="19"/>
        <v>-938.46868272000006</v>
      </c>
      <c r="N70" s="11">
        <f t="shared" si="20"/>
        <v>863.39118810240006</v>
      </c>
      <c r="O70" s="11">
        <f>H70+L70+M70+N70</f>
        <v>-1489.9172197659259</v>
      </c>
      <c r="P70" s="11"/>
      <c r="Q70" s="11">
        <f t="shared" si="22"/>
        <v>168308.85759911546</v>
      </c>
      <c r="R70" s="11">
        <f t="shared" si="23"/>
        <v>-938.46868272000006</v>
      </c>
      <c r="S70" s="11">
        <f t="shared" si="24"/>
        <v>551.44853704592583</v>
      </c>
      <c r="T70" s="11">
        <f t="shared" si="26"/>
        <v>31747.164398781129</v>
      </c>
      <c r="U70" s="12"/>
      <c r="V70" s="10">
        <f t="shared" si="17"/>
        <v>-100000</v>
      </c>
      <c r="W70" s="13">
        <f t="shared" si="25"/>
        <v>278326.42037109367</v>
      </c>
      <c r="X70" s="10">
        <f>K70</f>
        <v>123925.23064223035</v>
      </c>
      <c r="Y70" s="10">
        <f t="shared" si="18"/>
        <v>54401.189728863304</v>
      </c>
    </row>
    <row r="71" spans="3:25" x14ac:dyDescent="0.25">
      <c r="F71" s="2">
        <f t="shared" si="11"/>
        <v>6</v>
      </c>
      <c r="G71" s="2">
        <f t="shared" si="12"/>
        <v>9</v>
      </c>
      <c r="H71" s="10">
        <f t="shared" si="21"/>
        <v>-887.35615656627056</v>
      </c>
      <c r="I71" s="11">
        <f t="shared" si="14"/>
        <v>-309.81307660557587</v>
      </c>
      <c r="J71" s="10">
        <f t="shared" si="15"/>
        <v>-577.54307996069474</v>
      </c>
      <c r="K71" s="10">
        <f t="shared" si="16"/>
        <v>123347.68756226965</v>
      </c>
      <c r="L71" s="11">
        <f>-($C$15/12+$C$17*$C$11/12+$C$18/12*(1+$C$19)^($F71-1)+$C$20*W71/12)-N71*$C$37</f>
        <v>-527.48356858205545</v>
      </c>
      <c r="M71" s="11">
        <f t="shared" si="19"/>
        <v>-938.46868272000006</v>
      </c>
      <c r="N71" s="11">
        <f t="shared" si="20"/>
        <v>863.39118810240006</v>
      </c>
      <c r="O71" s="11">
        <f>H71+L71+M71+N71</f>
        <v>-1489.9172197659259</v>
      </c>
      <c r="P71" s="11"/>
      <c r="Q71" s="11">
        <f t="shared" si="22"/>
        <v>169546.01725590462</v>
      </c>
      <c r="R71" s="11">
        <f t="shared" si="23"/>
        <v>-938.46868272000006</v>
      </c>
      <c r="S71" s="11">
        <f t="shared" si="24"/>
        <v>551.44853704592583</v>
      </c>
      <c r="T71" s="11">
        <f t="shared" si="26"/>
        <v>32298.612935827055</v>
      </c>
      <c r="U71" s="12"/>
      <c r="V71" s="10">
        <f t="shared" si="17"/>
        <v>-100000</v>
      </c>
      <c r="W71" s="13">
        <f t="shared" si="25"/>
        <v>278326.42037109367</v>
      </c>
      <c r="X71" s="10">
        <f>K71</f>
        <v>123347.68756226965</v>
      </c>
      <c r="Y71" s="10">
        <f t="shared" si="18"/>
        <v>54978.732808824017</v>
      </c>
    </row>
    <row r="72" spans="3:25" x14ac:dyDescent="0.25">
      <c r="F72" s="2">
        <f t="shared" si="11"/>
        <v>6</v>
      </c>
      <c r="G72" s="2">
        <f t="shared" si="12"/>
        <v>10</v>
      </c>
      <c r="H72" s="10">
        <f t="shared" si="21"/>
        <v>-887.35615656627056</v>
      </c>
      <c r="I72" s="11">
        <f t="shared" si="14"/>
        <v>-308.36921890567413</v>
      </c>
      <c r="J72" s="10">
        <f t="shared" si="15"/>
        <v>-578.98693766059637</v>
      </c>
      <c r="K72" s="10">
        <f t="shared" si="16"/>
        <v>122768.70062460906</v>
      </c>
      <c r="L72" s="11">
        <f>-($C$15/12+$C$17*$C$11/12+$C$18/12*(1+$C$19)^($F72-1)+$C$20*W72/12)-N72*$C$37</f>
        <v>-527.48356858205545</v>
      </c>
      <c r="M72" s="11">
        <f t="shared" si="19"/>
        <v>-938.46868272000006</v>
      </c>
      <c r="N72" s="11">
        <f t="shared" si="20"/>
        <v>863.39118810240006</v>
      </c>
      <c r="O72" s="11">
        <f>H72+L72+M72+N72</f>
        <v>-1489.9172197659259</v>
      </c>
      <c r="P72" s="11"/>
      <c r="Q72" s="11">
        <f t="shared" si="22"/>
        <v>170788.21725427566</v>
      </c>
      <c r="R72" s="11">
        <f t="shared" si="23"/>
        <v>-938.46868272000006</v>
      </c>
      <c r="S72" s="11">
        <f t="shared" si="24"/>
        <v>551.44853704592583</v>
      </c>
      <c r="T72" s="11">
        <f t="shared" si="26"/>
        <v>32850.061472872978</v>
      </c>
      <c r="U72" s="12"/>
      <c r="V72" s="10">
        <f t="shared" si="17"/>
        <v>-100000</v>
      </c>
      <c r="W72" s="13">
        <f t="shared" si="25"/>
        <v>278326.42037109367</v>
      </c>
      <c r="X72" s="10">
        <f>K72</f>
        <v>122768.70062460906</v>
      </c>
      <c r="Y72" s="10">
        <f t="shared" si="18"/>
        <v>55557.719746484596</v>
      </c>
    </row>
    <row r="73" spans="3:25" x14ac:dyDescent="0.25">
      <c r="F73" s="2">
        <f t="shared" si="11"/>
        <v>6</v>
      </c>
      <c r="G73" s="2">
        <f t="shared" si="12"/>
        <v>11</v>
      </c>
      <c r="H73" s="10">
        <f t="shared" si="21"/>
        <v>-887.35615656627056</v>
      </c>
      <c r="I73" s="11">
        <f t="shared" si="14"/>
        <v>-306.92175156152268</v>
      </c>
      <c r="J73" s="10">
        <f t="shared" si="15"/>
        <v>-580.43440500474787</v>
      </c>
      <c r="K73" s="10">
        <f t="shared" si="16"/>
        <v>122188.26621960431</v>
      </c>
      <c r="L73" s="11">
        <f>-($C$15/12+$C$17*$C$11/12+$C$18/12*(1+$C$19)^($F73-1)+$C$20*W73/12)-N73*$C$37</f>
        <v>-527.48356858205545</v>
      </c>
      <c r="M73" s="11">
        <f t="shared" si="19"/>
        <v>-938.46868272000006</v>
      </c>
      <c r="N73" s="11">
        <f t="shared" si="20"/>
        <v>863.39118810240006</v>
      </c>
      <c r="O73" s="11">
        <f>H73+L73+M73+N73</f>
        <v>-1489.9172197659259</v>
      </c>
      <c r="P73" s="11"/>
      <c r="Q73" s="11">
        <f t="shared" si="22"/>
        <v>172035.47812920413</v>
      </c>
      <c r="R73" s="11">
        <f t="shared" si="23"/>
        <v>-938.46868272000006</v>
      </c>
      <c r="S73" s="11">
        <f t="shared" si="24"/>
        <v>551.44853704592583</v>
      </c>
      <c r="T73" s="11">
        <f t="shared" si="26"/>
        <v>33401.5100099189</v>
      </c>
      <c r="U73" s="12"/>
      <c r="V73" s="10">
        <f t="shared" si="17"/>
        <v>-100000</v>
      </c>
      <c r="W73" s="13">
        <f t="shared" si="25"/>
        <v>278326.42037109367</v>
      </c>
      <c r="X73" s="10">
        <f>K73</f>
        <v>122188.26621960431</v>
      </c>
      <c r="Y73" s="10">
        <f t="shared" si="18"/>
        <v>56138.154151489376</v>
      </c>
    </row>
    <row r="74" spans="3:25" x14ac:dyDescent="0.25">
      <c r="F74" s="2">
        <f t="shared" si="11"/>
        <v>6</v>
      </c>
      <c r="G74" s="2">
        <f t="shared" si="12"/>
        <v>12</v>
      </c>
      <c r="H74" s="10">
        <f t="shared" si="21"/>
        <v>-887.35615656627056</v>
      </c>
      <c r="I74" s="11">
        <f t="shared" si="14"/>
        <v>-305.47066554901079</v>
      </c>
      <c r="J74" s="10">
        <f t="shared" si="15"/>
        <v>-581.88549101725971</v>
      </c>
      <c r="K74" s="10">
        <f t="shared" si="16"/>
        <v>121606.38072858704</v>
      </c>
      <c r="L74" s="11">
        <f>-($C$15/12+$C$17*$C$11/12+$C$18/12*(1+$C$19)^($F74-1)+$C$20*W74/12)-N74*$C$37</f>
        <v>-527.48356858205545</v>
      </c>
      <c r="M74" s="11">
        <f t="shared" si="19"/>
        <v>-938.46868272000006</v>
      </c>
      <c r="N74" s="11">
        <f t="shared" si="20"/>
        <v>863.39118810240006</v>
      </c>
      <c r="O74" s="11">
        <f>H74+L74+M74+N74</f>
        <v>-1489.9172197659259</v>
      </c>
      <c r="P74" s="11"/>
      <c r="Q74" s="11">
        <f t="shared" si="22"/>
        <v>173287.82049932756</v>
      </c>
      <c r="R74" s="11">
        <f t="shared" si="23"/>
        <v>-938.46868272000006</v>
      </c>
      <c r="S74" s="11">
        <f t="shared" si="24"/>
        <v>551.44853704592583</v>
      </c>
      <c r="T74" s="11">
        <f t="shared" si="26"/>
        <v>33952.958546964823</v>
      </c>
      <c r="U74" s="12"/>
      <c r="V74" s="10">
        <f t="shared" si="17"/>
        <v>-100000</v>
      </c>
      <c r="W74" s="13">
        <f t="shared" si="25"/>
        <v>278326.42037109367</v>
      </c>
      <c r="X74" s="10">
        <f>K74</f>
        <v>121606.38072858704</v>
      </c>
      <c r="Y74" s="10">
        <f t="shared" si="18"/>
        <v>56720.039642506628</v>
      </c>
    </row>
    <row r="75" spans="3:25" x14ac:dyDescent="0.25">
      <c r="F75" s="2">
        <f t="shared" si="11"/>
        <v>7</v>
      </c>
      <c r="G75" s="2">
        <f t="shared" si="12"/>
        <v>1</v>
      </c>
      <c r="H75" s="10">
        <f t="shared" si="21"/>
        <v>-887.35615656627056</v>
      </c>
      <c r="I75" s="11">
        <f t="shared" si="14"/>
        <v>-304.01595182146764</v>
      </c>
      <c r="J75" s="10">
        <f t="shared" si="15"/>
        <v>-583.34020474480292</v>
      </c>
      <c r="K75" s="10">
        <f t="shared" si="16"/>
        <v>121023.04052384224</v>
      </c>
      <c r="L75" s="11">
        <f>-($C$15/12+$C$17*$C$11/12+$C$18/12*(1+$C$19)^($F75-1)+$C$20*W75/12)-N75*$C$37</f>
        <v>-536.52626670524273</v>
      </c>
      <c r="M75" s="11">
        <f t="shared" si="19"/>
        <v>-957.2380563744</v>
      </c>
      <c r="N75" s="11">
        <f t="shared" si="20"/>
        <v>880.65901186444808</v>
      </c>
      <c r="O75" s="11">
        <f>H75+L75+M75+N75</f>
        <v>-1500.4614677814652</v>
      </c>
      <c r="P75" s="11"/>
      <c r="Q75" s="11">
        <f t="shared" si="22"/>
        <v>174537.03994164753</v>
      </c>
      <c r="R75" s="11">
        <f t="shared" si="23"/>
        <v>-957.2380563744</v>
      </c>
      <c r="S75" s="11">
        <f t="shared" si="24"/>
        <v>543.22341140706521</v>
      </c>
      <c r="T75" s="11">
        <f t="shared" si="26"/>
        <v>34496.18195837189</v>
      </c>
      <c r="U75" s="12"/>
      <c r="V75" s="10">
        <f t="shared" si="17"/>
        <v>-100000</v>
      </c>
      <c r="W75" s="13">
        <f t="shared" si="25"/>
        <v>285284.58088037098</v>
      </c>
      <c r="X75" s="10">
        <f>K75</f>
        <v>121023.04052384224</v>
      </c>
      <c r="Y75" s="10">
        <f t="shared" si="18"/>
        <v>64261.540356528742</v>
      </c>
    </row>
    <row r="76" spans="3:25" x14ac:dyDescent="0.25">
      <c r="F76" s="2">
        <f t="shared" si="11"/>
        <v>7</v>
      </c>
      <c r="G76" s="2">
        <f t="shared" si="12"/>
        <v>2</v>
      </c>
      <c r="H76" s="10">
        <f t="shared" si="21"/>
        <v>-887.35615656627056</v>
      </c>
      <c r="I76" s="11">
        <f t="shared" si="14"/>
        <v>-302.55760130960562</v>
      </c>
      <c r="J76" s="10">
        <f t="shared" si="15"/>
        <v>-584.79855525666494</v>
      </c>
      <c r="K76" s="10">
        <f t="shared" si="16"/>
        <v>120438.24196858557</v>
      </c>
      <c r="L76" s="11">
        <f>-($C$15/12+$C$17*$C$11/12+$C$18/12*(1+$C$19)^($F76-1)+$C$20*W76/12)-N76*$C$37</f>
        <v>-536.52626670524273</v>
      </c>
      <c r="M76" s="11">
        <f t="shared" si="19"/>
        <v>-957.2380563744</v>
      </c>
      <c r="N76" s="11">
        <f t="shared" si="20"/>
        <v>880.65901186444808</v>
      </c>
      <c r="O76" s="11">
        <f>H76+L76+M76+N76</f>
        <v>-1500.4614677814652</v>
      </c>
      <c r="P76" s="11"/>
      <c r="Q76" s="11">
        <f t="shared" si="22"/>
        <v>175791.34885860843</v>
      </c>
      <c r="R76" s="11">
        <f t="shared" si="23"/>
        <v>-957.2380563744</v>
      </c>
      <c r="S76" s="11">
        <f t="shared" si="24"/>
        <v>543.22341140706521</v>
      </c>
      <c r="T76" s="11">
        <f t="shared" si="26"/>
        <v>35039.405369778957</v>
      </c>
      <c r="U76" s="12"/>
      <c r="V76" s="10">
        <f t="shared" si="17"/>
        <v>-100000</v>
      </c>
      <c r="W76" s="13">
        <f t="shared" si="25"/>
        <v>285284.58088037098</v>
      </c>
      <c r="X76" s="10">
        <f>K76</f>
        <v>120438.24196858557</v>
      </c>
      <c r="Y76" s="10">
        <f t="shared" si="18"/>
        <v>64846.338911785395</v>
      </c>
    </row>
    <row r="77" spans="3:25" x14ac:dyDescent="0.25">
      <c r="F77" s="2">
        <f t="shared" si="11"/>
        <v>7</v>
      </c>
      <c r="G77" s="2">
        <f t="shared" si="12"/>
        <v>3</v>
      </c>
      <c r="H77" s="10">
        <f t="shared" si="21"/>
        <v>-887.35615656627056</v>
      </c>
      <c r="I77" s="11">
        <f t="shared" si="14"/>
        <v>-301.09560492146392</v>
      </c>
      <c r="J77" s="10">
        <f t="shared" si="15"/>
        <v>-586.26055164480658</v>
      </c>
      <c r="K77" s="10">
        <f t="shared" si="16"/>
        <v>119851.98141694076</v>
      </c>
      <c r="L77" s="11">
        <f>-($C$15/12+$C$17*$C$11/12+$C$18/12*(1+$C$19)^($F77-1)+$C$20*W77/12)-N77*$C$37</f>
        <v>-536.52626670524273</v>
      </c>
      <c r="M77" s="11">
        <f t="shared" si="19"/>
        <v>-957.2380563744</v>
      </c>
      <c r="N77" s="11">
        <f t="shared" si="20"/>
        <v>880.65901186444808</v>
      </c>
      <c r="O77" s="11">
        <f>H77+L77+M77+N77</f>
        <v>-1500.4614677814652</v>
      </c>
      <c r="P77" s="11"/>
      <c r="Q77" s="11">
        <f t="shared" si="22"/>
        <v>177050.76798535997</v>
      </c>
      <c r="R77" s="11">
        <f t="shared" si="23"/>
        <v>-957.2380563744</v>
      </c>
      <c r="S77" s="11">
        <f t="shared" si="24"/>
        <v>543.22341140706521</v>
      </c>
      <c r="T77" s="11">
        <f t="shared" si="26"/>
        <v>35582.628781186024</v>
      </c>
      <c r="U77" s="12"/>
      <c r="V77" s="10">
        <f t="shared" si="17"/>
        <v>-100000</v>
      </c>
      <c r="W77" s="13">
        <f t="shared" si="25"/>
        <v>285284.58088037098</v>
      </c>
      <c r="X77" s="10">
        <f>K77</f>
        <v>119851.98141694076</v>
      </c>
      <c r="Y77" s="10">
        <f t="shared" si="18"/>
        <v>65432.599463430233</v>
      </c>
    </row>
    <row r="78" spans="3:25" x14ac:dyDescent="0.25">
      <c r="F78" s="2">
        <f t="shared" si="11"/>
        <v>7</v>
      </c>
      <c r="G78" s="2">
        <f t="shared" si="12"/>
        <v>4</v>
      </c>
      <c r="H78" s="10">
        <f t="shared" si="21"/>
        <v>-887.35615656627056</v>
      </c>
      <c r="I78" s="11">
        <f t="shared" si="14"/>
        <v>-299.62995354235193</v>
      </c>
      <c r="J78" s="10">
        <f t="shared" si="15"/>
        <v>-587.72620302391863</v>
      </c>
      <c r="K78" s="10">
        <f t="shared" si="16"/>
        <v>119264.25521391684</v>
      </c>
      <c r="L78" s="11">
        <f>-($C$15/12+$C$17*$C$11/12+$C$18/12*(1+$C$19)^($F78-1)+$C$20*W78/12)-N78*$C$37</f>
        <v>-536.52626670524273</v>
      </c>
      <c r="M78" s="11">
        <f t="shared" si="19"/>
        <v>-957.2380563744</v>
      </c>
      <c r="N78" s="11">
        <f t="shared" si="20"/>
        <v>880.65901186444808</v>
      </c>
      <c r="O78" s="11">
        <f>H78+L78+M78+N78</f>
        <v>-1500.4614677814652</v>
      </c>
      <c r="P78" s="11"/>
      <c r="Q78" s="11">
        <f t="shared" si="22"/>
        <v>178315.31814152939</v>
      </c>
      <c r="R78" s="11">
        <f t="shared" si="23"/>
        <v>-957.2380563744</v>
      </c>
      <c r="S78" s="11">
        <f t="shared" si="24"/>
        <v>543.22341140706521</v>
      </c>
      <c r="T78" s="11">
        <f t="shared" si="26"/>
        <v>36125.852192593091</v>
      </c>
      <c r="U78" s="12"/>
      <c r="V78" s="10">
        <f t="shared" si="17"/>
        <v>-100000</v>
      </c>
      <c r="W78" s="13">
        <f t="shared" si="25"/>
        <v>285284.58088037098</v>
      </c>
      <c r="X78" s="10">
        <f>K78</f>
        <v>119264.25521391684</v>
      </c>
      <c r="Y78" s="10">
        <f t="shared" si="18"/>
        <v>66020.325666454155</v>
      </c>
    </row>
    <row r="79" spans="3:25" x14ac:dyDescent="0.25">
      <c r="F79" s="2">
        <f t="shared" si="11"/>
        <v>7</v>
      </c>
      <c r="G79" s="2">
        <f t="shared" si="12"/>
        <v>5</v>
      </c>
      <c r="H79" s="10">
        <f t="shared" si="21"/>
        <v>-887.35615656627056</v>
      </c>
      <c r="I79" s="11">
        <f t="shared" si="14"/>
        <v>-298.1606380347921</v>
      </c>
      <c r="J79" s="10">
        <f t="shared" si="15"/>
        <v>-589.19551853147846</v>
      </c>
      <c r="K79" s="10">
        <f t="shared" si="16"/>
        <v>118675.05969538537</v>
      </c>
      <c r="L79" s="11">
        <f>-($C$15/12+$C$17*$C$11/12+$C$18/12*(1+$C$19)^($F79-1)+$C$20*W79/12)-N79*$C$37</f>
        <v>-536.52626670524273</v>
      </c>
      <c r="M79" s="11">
        <f t="shared" si="19"/>
        <v>-957.2380563744</v>
      </c>
      <c r="N79" s="11">
        <f t="shared" si="20"/>
        <v>880.65901186444808</v>
      </c>
      <c r="O79" s="11">
        <f>H79+L79+M79+N79</f>
        <v>-1500.4614677814652</v>
      </c>
      <c r="P79" s="11"/>
      <c r="Q79" s="11">
        <f t="shared" si="22"/>
        <v>179585.02023156569</v>
      </c>
      <c r="R79" s="11">
        <f t="shared" si="23"/>
        <v>-957.2380563744</v>
      </c>
      <c r="S79" s="11">
        <f t="shared" si="24"/>
        <v>543.22341140706521</v>
      </c>
      <c r="T79" s="11">
        <f t="shared" si="26"/>
        <v>36669.075604000158</v>
      </c>
      <c r="U79" s="12"/>
      <c r="V79" s="10">
        <f t="shared" si="17"/>
        <v>-100000</v>
      </c>
      <c r="W79" s="13">
        <f t="shared" si="25"/>
        <v>285284.58088037098</v>
      </c>
      <c r="X79" s="10">
        <f>K79</f>
        <v>118675.05969538537</v>
      </c>
      <c r="Y79" s="10">
        <f t="shared" si="18"/>
        <v>66609.521184985613</v>
      </c>
    </row>
    <row r="80" spans="3:25" x14ac:dyDescent="0.25">
      <c r="F80" s="2">
        <f t="shared" si="11"/>
        <v>7</v>
      </c>
      <c r="G80" s="2">
        <f t="shared" si="12"/>
        <v>6</v>
      </c>
      <c r="H80" s="10">
        <f t="shared" si="21"/>
        <v>-887.35615656627056</v>
      </c>
      <c r="I80" s="11">
        <f t="shared" si="14"/>
        <v>-296.68764923846345</v>
      </c>
      <c r="J80" s="10">
        <f t="shared" si="15"/>
        <v>-590.66850732780711</v>
      </c>
      <c r="K80" s="10">
        <f t="shared" si="16"/>
        <v>118084.39118805756</v>
      </c>
      <c r="L80" s="11">
        <f>-($C$15/12+$C$17*$C$11/12+$C$18/12*(1+$C$19)^($F80-1)+$C$20*W80/12)-N80*$C$37</f>
        <v>-536.52626670524273</v>
      </c>
      <c r="M80" s="11">
        <f t="shared" si="19"/>
        <v>-957.2380563744</v>
      </c>
      <c r="N80" s="11">
        <f t="shared" si="20"/>
        <v>880.65901186444808</v>
      </c>
      <c r="O80" s="11">
        <f>H80+L80+M80+N80</f>
        <v>-1500.4614677814652</v>
      </c>
      <c r="P80" s="11"/>
      <c r="Q80" s="11">
        <f t="shared" si="22"/>
        <v>180859.89524508515</v>
      </c>
      <c r="R80" s="11">
        <f t="shared" si="23"/>
        <v>-957.2380563744</v>
      </c>
      <c r="S80" s="11">
        <f t="shared" si="24"/>
        <v>543.22341140706521</v>
      </c>
      <c r="T80" s="11">
        <f t="shared" si="26"/>
        <v>37212.299015407225</v>
      </c>
      <c r="U80" s="12"/>
      <c r="V80" s="10">
        <f t="shared" si="17"/>
        <v>-100000</v>
      </c>
      <c r="W80" s="13">
        <f t="shared" si="25"/>
        <v>285284.58088037098</v>
      </c>
      <c r="X80" s="10">
        <f>K80</f>
        <v>118084.39118805756</v>
      </c>
      <c r="Y80" s="10">
        <f t="shared" si="18"/>
        <v>67200.189692313434</v>
      </c>
    </row>
    <row r="81" spans="6:25" x14ac:dyDescent="0.25">
      <c r="F81" s="2">
        <f t="shared" ref="F81:F122" si="27">F69+1</f>
        <v>7</v>
      </c>
      <c r="G81" s="2">
        <f t="shared" ref="G81:G122" si="28">G69</f>
        <v>7</v>
      </c>
      <c r="H81" s="10">
        <f t="shared" si="21"/>
        <v>-887.35615656627056</v>
      </c>
      <c r="I81" s="11">
        <f t="shared" si="14"/>
        <v>-295.21097797014392</v>
      </c>
      <c r="J81" s="10">
        <f t="shared" si="15"/>
        <v>-592.1451785961267</v>
      </c>
      <c r="K81" s="10">
        <f t="shared" si="16"/>
        <v>117492.24600946144</v>
      </c>
      <c r="L81" s="11">
        <f>-($C$15/12+$C$17*$C$11/12+$C$18/12*(1+$C$19)^($F81-1)+$C$20*W81/12)-N81*$C$37</f>
        <v>-536.52626670524273</v>
      </c>
      <c r="M81" s="11">
        <f t="shared" si="19"/>
        <v>-957.2380563744</v>
      </c>
      <c r="N81" s="11">
        <f t="shared" si="20"/>
        <v>880.65901186444808</v>
      </c>
      <c r="O81" s="11">
        <f>H81+L81+M81+N81</f>
        <v>-1500.4614677814652</v>
      </c>
      <c r="P81" s="11"/>
      <c r="Q81" s="11">
        <f t="shared" si="22"/>
        <v>182139.96425721835</v>
      </c>
      <c r="R81" s="11">
        <f t="shared" si="23"/>
        <v>-957.2380563744</v>
      </c>
      <c r="S81" s="11">
        <f t="shared" si="24"/>
        <v>543.22341140706521</v>
      </c>
      <c r="T81" s="11">
        <f t="shared" si="26"/>
        <v>37755.522426814292</v>
      </c>
      <c r="U81" s="12"/>
      <c r="V81" s="10">
        <f t="shared" si="17"/>
        <v>-100000</v>
      </c>
      <c r="W81" s="13">
        <f t="shared" si="25"/>
        <v>285284.58088037098</v>
      </c>
      <c r="X81" s="10">
        <f>K81</f>
        <v>117492.24600946144</v>
      </c>
      <c r="Y81" s="10">
        <f t="shared" si="18"/>
        <v>67792.334870909544</v>
      </c>
    </row>
    <row r="82" spans="6:25" x14ac:dyDescent="0.25">
      <c r="F82" s="2">
        <f t="shared" si="27"/>
        <v>7</v>
      </c>
      <c r="G82" s="2">
        <f t="shared" si="28"/>
        <v>8</v>
      </c>
      <c r="H82" s="10">
        <f t="shared" si="21"/>
        <v>-887.35615656627056</v>
      </c>
      <c r="I82" s="11">
        <f t="shared" si="14"/>
        <v>-293.73061502365357</v>
      </c>
      <c r="J82" s="10">
        <f t="shared" si="15"/>
        <v>-593.62554154261693</v>
      </c>
      <c r="K82" s="10">
        <f t="shared" si="16"/>
        <v>116898.62046791882</v>
      </c>
      <c r="L82" s="11">
        <f>-($C$15/12+$C$17*$C$11/12+$C$18/12*(1+$C$19)^($F82-1)+$C$20*W82/12)-N82*$C$37</f>
        <v>-536.52626670524273</v>
      </c>
      <c r="M82" s="11">
        <f t="shared" si="19"/>
        <v>-957.2380563744</v>
      </c>
      <c r="N82" s="11">
        <f t="shared" si="20"/>
        <v>880.65901186444808</v>
      </c>
      <c r="O82" s="11">
        <f>H82+L82+M82+N82</f>
        <v>-1500.4614677814652</v>
      </c>
      <c r="P82" s="11"/>
      <c r="Q82" s="11">
        <f t="shared" si="22"/>
        <v>183425.24842895861</v>
      </c>
      <c r="R82" s="11">
        <f t="shared" si="23"/>
        <v>-957.2380563744</v>
      </c>
      <c r="S82" s="11">
        <f t="shared" si="24"/>
        <v>543.22341140706521</v>
      </c>
      <c r="T82" s="11">
        <f t="shared" si="26"/>
        <v>38298.745838221359</v>
      </c>
      <c r="U82" s="12"/>
      <c r="V82" s="10">
        <f t="shared" si="17"/>
        <v>-100000</v>
      </c>
      <c r="W82" s="13">
        <f t="shared" si="25"/>
        <v>285284.58088037098</v>
      </c>
      <c r="X82" s="10">
        <f>K82</f>
        <v>116898.62046791882</v>
      </c>
      <c r="Y82" s="10">
        <f t="shared" si="18"/>
        <v>68385.960412452172</v>
      </c>
    </row>
    <row r="83" spans="6:25" x14ac:dyDescent="0.25">
      <c r="F83" s="2">
        <f t="shared" si="27"/>
        <v>7</v>
      </c>
      <c r="G83" s="2">
        <f t="shared" si="28"/>
        <v>9</v>
      </c>
      <c r="H83" s="10">
        <f t="shared" si="21"/>
        <v>-887.35615656627056</v>
      </c>
      <c r="I83" s="11">
        <f t="shared" si="14"/>
        <v>-292.24655116979704</v>
      </c>
      <c r="J83" s="10">
        <f t="shared" si="15"/>
        <v>-595.10960539647351</v>
      </c>
      <c r="K83" s="10">
        <f t="shared" si="16"/>
        <v>116303.51086252235</v>
      </c>
      <c r="L83" s="11">
        <f>-($C$15/12+$C$17*$C$11/12+$C$18/12*(1+$C$19)^($F83-1)+$C$20*W83/12)-N83*$C$37</f>
        <v>-536.52626670524273</v>
      </c>
      <c r="M83" s="11">
        <f t="shared" si="19"/>
        <v>-957.2380563744</v>
      </c>
      <c r="N83" s="11">
        <f t="shared" si="20"/>
        <v>880.65901186444808</v>
      </c>
      <c r="O83" s="11">
        <f>H83+L83+M83+N83</f>
        <v>-1500.4614677814652</v>
      </c>
      <c r="P83" s="11"/>
      <c r="Q83" s="11">
        <f t="shared" si="22"/>
        <v>184715.7690075117</v>
      </c>
      <c r="R83" s="11">
        <f t="shared" si="23"/>
        <v>-957.2380563744</v>
      </c>
      <c r="S83" s="11">
        <f t="shared" si="24"/>
        <v>543.22341140706521</v>
      </c>
      <c r="T83" s="11">
        <f t="shared" si="26"/>
        <v>38841.969249628426</v>
      </c>
      <c r="U83" s="12"/>
      <c r="V83" s="10">
        <f t="shared" si="17"/>
        <v>-100000</v>
      </c>
      <c r="W83" s="13">
        <f t="shared" si="25"/>
        <v>285284.58088037098</v>
      </c>
      <c r="X83" s="10">
        <f>K83</f>
        <v>116303.51086252235</v>
      </c>
      <c r="Y83" s="10">
        <f t="shared" si="18"/>
        <v>68981.07001784863</v>
      </c>
    </row>
    <row r="84" spans="6:25" x14ac:dyDescent="0.25">
      <c r="F84" s="2">
        <f t="shared" si="27"/>
        <v>7</v>
      </c>
      <c r="G84" s="2">
        <f t="shared" si="28"/>
        <v>10</v>
      </c>
      <c r="H84" s="10">
        <f t="shared" si="21"/>
        <v>-887.35615656627056</v>
      </c>
      <c r="I84" s="11">
        <f t="shared" si="14"/>
        <v>-290.75877715630588</v>
      </c>
      <c r="J84" s="10">
        <f t="shared" si="15"/>
        <v>-596.59737940996467</v>
      </c>
      <c r="K84" s="10">
        <f t="shared" si="16"/>
        <v>115706.91348311238</v>
      </c>
      <c r="L84" s="11">
        <f>-($C$15/12+$C$17*$C$11/12+$C$18/12*(1+$C$19)^($F84-1)+$C$20*W84/12)-N84*$C$37</f>
        <v>-536.52626670524273</v>
      </c>
      <c r="M84" s="11">
        <f t="shared" si="19"/>
        <v>-957.2380563744</v>
      </c>
      <c r="N84" s="11">
        <f t="shared" si="20"/>
        <v>880.65901186444808</v>
      </c>
      <c r="O84" s="11">
        <f>H84+L84+M84+N84</f>
        <v>-1500.4614677814652</v>
      </c>
      <c r="P84" s="11"/>
      <c r="Q84" s="11">
        <f t="shared" si="22"/>
        <v>186011.54732664715</v>
      </c>
      <c r="R84" s="11">
        <f t="shared" si="23"/>
        <v>-957.2380563744</v>
      </c>
      <c r="S84" s="11">
        <f t="shared" si="24"/>
        <v>543.22341140706521</v>
      </c>
      <c r="T84" s="11">
        <f t="shared" si="26"/>
        <v>39385.192661035493</v>
      </c>
      <c r="U84" s="12"/>
      <c r="V84" s="10">
        <f t="shared" si="17"/>
        <v>-100000</v>
      </c>
      <c r="W84" s="13">
        <f t="shared" si="25"/>
        <v>285284.58088037098</v>
      </c>
      <c r="X84" s="10">
        <f>K84</f>
        <v>115706.91348311238</v>
      </c>
      <c r="Y84" s="10">
        <f t="shared" si="18"/>
        <v>69577.6673972586</v>
      </c>
    </row>
    <row r="85" spans="6:25" x14ac:dyDescent="0.25">
      <c r="F85" s="2">
        <f t="shared" si="27"/>
        <v>7</v>
      </c>
      <c r="G85" s="2">
        <f t="shared" si="28"/>
        <v>11</v>
      </c>
      <c r="H85" s="10">
        <f t="shared" si="21"/>
        <v>-887.35615656627056</v>
      </c>
      <c r="I85" s="11">
        <f t="shared" si="14"/>
        <v>-289.26728370778096</v>
      </c>
      <c r="J85" s="10">
        <f t="shared" si="15"/>
        <v>-598.08887285848959</v>
      </c>
      <c r="K85" s="10">
        <f t="shared" si="16"/>
        <v>115108.8246102539</v>
      </c>
      <c r="L85" s="11">
        <f>-($C$15/12+$C$17*$C$11/12+$C$18/12*(1+$C$19)^($F85-1)+$C$20*W85/12)-N85*$C$37</f>
        <v>-536.52626670524273</v>
      </c>
      <c r="M85" s="11">
        <f t="shared" si="19"/>
        <v>-957.2380563744</v>
      </c>
      <c r="N85" s="11">
        <f t="shared" si="20"/>
        <v>880.65901186444808</v>
      </c>
      <c r="O85" s="11">
        <f>H85+L85+M85+N85</f>
        <v>-1500.4614677814652</v>
      </c>
      <c r="P85" s="11"/>
      <c r="Q85" s="11">
        <f t="shared" si="22"/>
        <v>187312.60480705093</v>
      </c>
      <c r="R85" s="11">
        <f t="shared" si="23"/>
        <v>-957.2380563744</v>
      </c>
      <c r="S85" s="11">
        <f t="shared" si="24"/>
        <v>543.22341140706521</v>
      </c>
      <c r="T85" s="11">
        <f t="shared" si="26"/>
        <v>39928.41607244256</v>
      </c>
      <c r="U85" s="12"/>
      <c r="V85" s="10">
        <f t="shared" si="17"/>
        <v>-100000</v>
      </c>
      <c r="W85" s="13">
        <f t="shared" si="25"/>
        <v>285284.58088037098</v>
      </c>
      <c r="X85" s="10">
        <f>K85</f>
        <v>115108.8246102539</v>
      </c>
      <c r="Y85" s="10">
        <f t="shared" si="18"/>
        <v>70175.756270117068</v>
      </c>
    </row>
    <row r="86" spans="6:25" x14ac:dyDescent="0.25">
      <c r="F86" s="2">
        <f t="shared" si="27"/>
        <v>7</v>
      </c>
      <c r="G86" s="2">
        <f t="shared" si="28"/>
        <v>12</v>
      </c>
      <c r="H86" s="10">
        <f t="shared" si="21"/>
        <v>-887.35615656627056</v>
      </c>
      <c r="I86" s="11">
        <f t="shared" si="14"/>
        <v>-287.77206152563474</v>
      </c>
      <c r="J86" s="10">
        <f t="shared" si="15"/>
        <v>-599.58409504063582</v>
      </c>
      <c r="K86" s="10">
        <f t="shared" si="16"/>
        <v>114509.24051521326</v>
      </c>
      <c r="L86" s="11">
        <f>-($C$15/12+$C$17*$C$11/12+$C$18/12*(1+$C$19)^($F86-1)+$C$20*W86/12)-N86*$C$37</f>
        <v>-536.52626670524273</v>
      </c>
      <c r="M86" s="11">
        <f t="shared" si="19"/>
        <v>-957.2380563744</v>
      </c>
      <c r="N86" s="11">
        <f t="shared" si="20"/>
        <v>880.65901186444808</v>
      </c>
      <c r="O86" s="11">
        <f>H86+L86+M86+N86</f>
        <v>-1500.4614677814652</v>
      </c>
      <c r="P86" s="11"/>
      <c r="Q86" s="11">
        <f t="shared" si="22"/>
        <v>188618.96295667952</v>
      </c>
      <c r="R86" s="11">
        <f t="shared" si="23"/>
        <v>-957.2380563744</v>
      </c>
      <c r="S86" s="11">
        <f t="shared" si="24"/>
        <v>543.22341140706521</v>
      </c>
      <c r="T86" s="11">
        <f t="shared" si="26"/>
        <v>40471.639483849627</v>
      </c>
      <c r="U86" s="12"/>
      <c r="V86" s="10">
        <f t="shared" si="17"/>
        <v>-100000</v>
      </c>
      <c r="W86" s="13">
        <f t="shared" si="25"/>
        <v>285284.58088037098</v>
      </c>
      <c r="X86" s="10">
        <f>K86</f>
        <v>114509.24051521326</v>
      </c>
      <c r="Y86" s="10">
        <f t="shared" si="18"/>
        <v>70775.340365157725</v>
      </c>
    </row>
    <row r="87" spans="6:25" x14ac:dyDescent="0.25">
      <c r="F87" s="2">
        <f t="shared" si="27"/>
        <v>8</v>
      </c>
      <c r="G87" s="2">
        <f t="shared" si="28"/>
        <v>1</v>
      </c>
      <c r="H87" s="10">
        <f t="shared" si="21"/>
        <v>-887.35615656627056</v>
      </c>
      <c r="I87" s="11">
        <f t="shared" si="14"/>
        <v>-286.27310128803316</v>
      </c>
      <c r="J87" s="10">
        <f t="shared" si="15"/>
        <v>-601.08305527823745</v>
      </c>
      <c r="K87" s="10">
        <f t="shared" si="16"/>
        <v>113908.15745993501</v>
      </c>
      <c r="L87" s="11">
        <f>-($C$15/12+$C$17*$C$11/12+$C$18/12*(1+$C$19)^($F87-1)+$C$20*W87/12)-N87*$C$37</f>
        <v>-545.77881112634907</v>
      </c>
      <c r="M87" s="11">
        <f t="shared" si="19"/>
        <v>-976.38281750188787</v>
      </c>
      <c r="N87" s="11">
        <f t="shared" si="20"/>
        <v>898.27219210173689</v>
      </c>
      <c r="O87" s="11">
        <f>H87+L87+M87+N87</f>
        <v>-1511.2455930927708</v>
      </c>
      <c r="P87" s="11"/>
      <c r="Q87" s="11">
        <f t="shared" si="22"/>
        <v>189922.28273529929</v>
      </c>
      <c r="R87" s="11">
        <f t="shared" si="23"/>
        <v>-976.38281750188787</v>
      </c>
      <c r="S87" s="11">
        <f t="shared" si="24"/>
        <v>534.86277559088296</v>
      </c>
      <c r="T87" s="11">
        <f t="shared" si="26"/>
        <v>41006.502259440509</v>
      </c>
      <c r="U87" s="12"/>
      <c r="V87" s="10">
        <f t="shared" si="17"/>
        <v>-100000</v>
      </c>
      <c r="W87" s="13">
        <f t="shared" si="25"/>
        <v>292416.69540238025</v>
      </c>
      <c r="X87" s="10">
        <f>K87</f>
        <v>113908.15745993501</v>
      </c>
      <c r="Y87" s="10">
        <f t="shared" si="18"/>
        <v>78508.537942445255</v>
      </c>
    </row>
    <row r="88" spans="6:25" x14ac:dyDescent="0.25">
      <c r="F88" s="2">
        <f t="shared" si="27"/>
        <v>8</v>
      </c>
      <c r="G88" s="2">
        <f t="shared" si="28"/>
        <v>2</v>
      </c>
      <c r="H88" s="10">
        <f t="shared" si="21"/>
        <v>-887.35615656627056</v>
      </c>
      <c r="I88" s="11">
        <f t="shared" si="14"/>
        <v>-284.77039364983756</v>
      </c>
      <c r="J88" s="10">
        <f t="shared" si="15"/>
        <v>-602.58576291643294</v>
      </c>
      <c r="K88" s="10">
        <f t="shared" si="16"/>
        <v>113305.57169701857</v>
      </c>
      <c r="L88" s="11">
        <f>-($C$15/12+$C$17*$C$11/12+$C$18/12*(1+$C$19)^($F88-1)+$C$20*W88/12)-N88*$C$37</f>
        <v>-545.77881112634907</v>
      </c>
      <c r="M88" s="11">
        <f t="shared" si="19"/>
        <v>-976.38281750188787</v>
      </c>
      <c r="N88" s="11">
        <f t="shared" si="20"/>
        <v>898.27219210173689</v>
      </c>
      <c r="O88" s="11">
        <f>H88+L88+M88+N88</f>
        <v>-1511.2455930927708</v>
      </c>
      <c r="P88" s="11"/>
      <c r="Q88" s="11">
        <f t="shared" si="22"/>
        <v>191230.91240002683</v>
      </c>
      <c r="R88" s="11">
        <f t="shared" si="23"/>
        <v>-976.38281750188787</v>
      </c>
      <c r="S88" s="11">
        <f t="shared" si="24"/>
        <v>534.86277559088296</v>
      </c>
      <c r="T88" s="11">
        <f t="shared" si="26"/>
        <v>41541.365035031391</v>
      </c>
      <c r="U88" s="12"/>
      <c r="V88" s="10">
        <f t="shared" si="17"/>
        <v>-100000</v>
      </c>
      <c r="W88" s="13">
        <f t="shared" si="25"/>
        <v>292416.69540238025</v>
      </c>
      <c r="X88" s="10">
        <f>K88</f>
        <v>113305.57169701857</v>
      </c>
      <c r="Y88" s="10">
        <f t="shared" si="18"/>
        <v>79111.123705361679</v>
      </c>
    </row>
    <row r="89" spans="6:25" x14ac:dyDescent="0.25">
      <c r="F89" s="2">
        <f t="shared" si="27"/>
        <v>8</v>
      </c>
      <c r="G89" s="2">
        <f t="shared" si="28"/>
        <v>3</v>
      </c>
      <c r="H89" s="10">
        <f t="shared" si="21"/>
        <v>-887.35615656627056</v>
      </c>
      <c r="I89" s="11">
        <f t="shared" si="14"/>
        <v>-283.26392924254645</v>
      </c>
      <c r="J89" s="10">
        <f t="shared" si="15"/>
        <v>-604.09222732372405</v>
      </c>
      <c r="K89" s="10">
        <f t="shared" si="16"/>
        <v>112701.47946969485</v>
      </c>
      <c r="L89" s="11">
        <f>-($C$15/12+$C$17*$C$11/12+$C$18/12*(1+$C$19)^($F89-1)+$C$20*W89/12)-N89*$C$37</f>
        <v>-545.77881112634907</v>
      </c>
      <c r="M89" s="11">
        <f t="shared" si="19"/>
        <v>-976.38281750188787</v>
      </c>
      <c r="N89" s="11">
        <f t="shared" si="20"/>
        <v>898.27219210173689</v>
      </c>
      <c r="O89" s="11">
        <f>H89+L89+M89+N89</f>
        <v>-1511.2455930927708</v>
      </c>
      <c r="P89" s="11"/>
      <c r="Q89" s="11">
        <f t="shared" si="22"/>
        <v>192544.87358399545</v>
      </c>
      <c r="R89" s="11">
        <f t="shared" si="23"/>
        <v>-976.38281750188787</v>
      </c>
      <c r="S89" s="11">
        <f t="shared" si="24"/>
        <v>534.86277559088296</v>
      </c>
      <c r="T89" s="11">
        <f t="shared" si="26"/>
        <v>42076.227810622273</v>
      </c>
      <c r="U89" s="12"/>
      <c r="V89" s="10">
        <f t="shared" si="17"/>
        <v>-100000</v>
      </c>
      <c r="W89" s="13">
        <f t="shared" si="25"/>
        <v>292416.69540238025</v>
      </c>
      <c r="X89" s="10">
        <f>K89</f>
        <v>112701.47946969485</v>
      </c>
      <c r="Y89" s="10">
        <f t="shared" si="18"/>
        <v>79715.215932685416</v>
      </c>
    </row>
    <row r="90" spans="6:25" x14ac:dyDescent="0.25">
      <c r="F90" s="2">
        <f t="shared" si="27"/>
        <v>8</v>
      </c>
      <c r="G90" s="2">
        <f t="shared" si="28"/>
        <v>4</v>
      </c>
      <c r="H90" s="10">
        <f t="shared" si="21"/>
        <v>-887.35615656627056</v>
      </c>
      <c r="I90" s="11">
        <f t="shared" si="14"/>
        <v>-281.75369867423711</v>
      </c>
      <c r="J90" s="10">
        <f t="shared" si="15"/>
        <v>-605.6024578920335</v>
      </c>
      <c r="K90" s="10">
        <f t="shared" si="16"/>
        <v>112095.87701180282</v>
      </c>
      <c r="L90" s="11">
        <f>-($C$15/12+$C$17*$C$11/12+$C$18/12*(1+$C$19)^($F90-1)+$C$20*W90/12)-N90*$C$37</f>
        <v>-545.77881112634907</v>
      </c>
      <c r="M90" s="11">
        <f t="shared" si="19"/>
        <v>-976.38281750188787</v>
      </c>
      <c r="N90" s="11">
        <f t="shared" si="20"/>
        <v>898.27219210173689</v>
      </c>
      <c r="O90" s="11">
        <f>H90+L90+M90+N90</f>
        <v>-1511.2455930927708</v>
      </c>
      <c r="P90" s="11"/>
      <c r="Q90" s="11">
        <f t="shared" si="22"/>
        <v>193864.18800847445</v>
      </c>
      <c r="R90" s="11">
        <f t="shared" si="23"/>
        <v>-976.38281750188787</v>
      </c>
      <c r="S90" s="11">
        <f t="shared" si="24"/>
        <v>534.86277559088296</v>
      </c>
      <c r="T90" s="11">
        <f t="shared" si="26"/>
        <v>42611.090586213155</v>
      </c>
      <c r="U90" s="12"/>
      <c r="V90" s="10">
        <f t="shared" si="17"/>
        <v>-100000</v>
      </c>
      <c r="W90" s="13">
        <f t="shared" si="25"/>
        <v>292416.69540238025</v>
      </c>
      <c r="X90" s="10">
        <f>K90</f>
        <v>112095.87701180282</v>
      </c>
      <c r="Y90" s="10">
        <f t="shared" si="18"/>
        <v>80320.818390577449</v>
      </c>
    </row>
    <row r="91" spans="6:25" x14ac:dyDescent="0.25">
      <c r="F91" s="2">
        <f t="shared" si="27"/>
        <v>8</v>
      </c>
      <c r="G91" s="2">
        <f t="shared" si="28"/>
        <v>5</v>
      </c>
      <c r="H91" s="10">
        <f t="shared" si="21"/>
        <v>-887.35615656627056</v>
      </c>
      <c r="I91" s="11">
        <f t="shared" si="14"/>
        <v>-280.23969252950707</v>
      </c>
      <c r="J91" s="10">
        <f t="shared" si="15"/>
        <v>-607.11646403676355</v>
      </c>
      <c r="K91" s="10">
        <f t="shared" si="16"/>
        <v>111488.76054776605</v>
      </c>
      <c r="L91" s="11">
        <f>-($C$15/12+$C$17*$C$11/12+$C$18/12*(1+$C$19)^($F91-1)+$C$20*W91/12)-N91*$C$37</f>
        <v>-545.77881112634907</v>
      </c>
      <c r="M91" s="11">
        <f t="shared" si="19"/>
        <v>-976.38281750188787</v>
      </c>
      <c r="N91" s="11">
        <f t="shared" si="20"/>
        <v>898.27219210173689</v>
      </c>
      <c r="O91" s="11">
        <f>H91+L91+M91+N91</f>
        <v>-1511.2455930927708</v>
      </c>
      <c r="P91" s="11"/>
      <c r="Q91" s="11">
        <f t="shared" si="22"/>
        <v>195188.87748322834</v>
      </c>
      <c r="R91" s="11">
        <f t="shared" si="23"/>
        <v>-976.38281750188787</v>
      </c>
      <c r="S91" s="11">
        <f t="shared" si="24"/>
        <v>534.86277559088296</v>
      </c>
      <c r="T91" s="11">
        <f t="shared" si="26"/>
        <v>43145.953361804037</v>
      </c>
      <c r="U91" s="12"/>
      <c r="V91" s="10">
        <f t="shared" si="17"/>
        <v>-100000</v>
      </c>
      <c r="W91" s="13">
        <f t="shared" si="25"/>
        <v>292416.69540238025</v>
      </c>
      <c r="X91" s="10">
        <f>K91</f>
        <v>111488.76054776605</v>
      </c>
      <c r="Y91" s="10">
        <f t="shared" si="18"/>
        <v>80927.934854614199</v>
      </c>
    </row>
    <row r="92" spans="6:25" x14ac:dyDescent="0.25">
      <c r="F92" s="2">
        <f t="shared" si="27"/>
        <v>8</v>
      </c>
      <c r="G92" s="2">
        <f t="shared" si="28"/>
        <v>6</v>
      </c>
      <c r="H92" s="10">
        <f t="shared" si="21"/>
        <v>-887.35615656627056</v>
      </c>
      <c r="I92" s="11">
        <f t="shared" si="14"/>
        <v>-278.72190136941515</v>
      </c>
      <c r="J92" s="10">
        <f t="shared" si="15"/>
        <v>-608.63425519685541</v>
      </c>
      <c r="K92" s="10">
        <f t="shared" si="16"/>
        <v>110880.1262925692</v>
      </c>
      <c r="L92" s="11">
        <f>-($C$15/12+$C$17*$C$11/12+$C$18/12*(1+$C$19)^($F92-1)+$C$20*W92/12)-N92*$C$37</f>
        <v>-545.77881112634907</v>
      </c>
      <c r="M92" s="11">
        <f t="shared" si="19"/>
        <v>-976.38281750188787</v>
      </c>
      <c r="N92" s="11">
        <f t="shared" si="20"/>
        <v>898.27219210173689</v>
      </c>
      <c r="O92" s="11">
        <f>H92+L92+M92+N92</f>
        <v>-1511.2455930927708</v>
      </c>
      <c r="P92" s="11"/>
      <c r="Q92" s="11">
        <f t="shared" si="22"/>
        <v>196518.96390687727</v>
      </c>
      <c r="R92" s="11">
        <f t="shared" si="23"/>
        <v>-976.38281750188787</v>
      </c>
      <c r="S92" s="11">
        <f t="shared" si="24"/>
        <v>534.86277559088296</v>
      </c>
      <c r="T92" s="11">
        <f t="shared" si="26"/>
        <v>43680.816137394919</v>
      </c>
      <c r="U92" s="12"/>
      <c r="V92" s="10">
        <f t="shared" si="17"/>
        <v>-100000</v>
      </c>
      <c r="W92" s="13">
        <f t="shared" si="25"/>
        <v>292416.69540238025</v>
      </c>
      <c r="X92" s="10">
        <f>K92</f>
        <v>110880.1262925692</v>
      </c>
      <c r="Y92" s="10">
        <f t="shared" si="18"/>
        <v>81536.56910981104</v>
      </c>
    </row>
    <row r="93" spans="6:25" x14ac:dyDescent="0.25">
      <c r="F93" s="2">
        <f t="shared" si="27"/>
        <v>8</v>
      </c>
      <c r="G93" s="2">
        <f t="shared" si="28"/>
        <v>7</v>
      </c>
      <c r="H93" s="10">
        <f t="shared" si="21"/>
        <v>-887.35615656627056</v>
      </c>
      <c r="I93" s="11">
        <f t="shared" si="14"/>
        <v>-277.20031573142302</v>
      </c>
      <c r="J93" s="10">
        <f t="shared" si="15"/>
        <v>-610.1558408348476</v>
      </c>
      <c r="K93" s="10">
        <f t="shared" si="16"/>
        <v>110269.97045173435</v>
      </c>
      <c r="L93" s="11">
        <f>-($C$15/12+$C$17*$C$11/12+$C$18/12*(1+$C$19)^($F93-1)+$C$20*W93/12)-N93*$C$37</f>
        <v>-545.77881112634907</v>
      </c>
      <c r="M93" s="11">
        <f t="shared" si="19"/>
        <v>-976.38281750188787</v>
      </c>
      <c r="N93" s="11">
        <f t="shared" si="20"/>
        <v>898.27219210173689</v>
      </c>
      <c r="O93" s="11">
        <f>H93+L93+M93+N93</f>
        <v>-1511.2455930927708</v>
      </c>
      <c r="P93" s="11"/>
      <c r="Q93" s="11">
        <f t="shared" si="22"/>
        <v>197854.46926725909</v>
      </c>
      <c r="R93" s="11">
        <f t="shared" si="23"/>
        <v>-976.38281750188787</v>
      </c>
      <c r="S93" s="11">
        <f t="shared" si="24"/>
        <v>534.86277559088296</v>
      </c>
      <c r="T93" s="11">
        <f t="shared" si="26"/>
        <v>44215.678912985801</v>
      </c>
      <c r="U93" s="12"/>
      <c r="V93" s="10">
        <f t="shared" si="17"/>
        <v>-100000</v>
      </c>
      <c r="W93" s="13">
        <f t="shared" si="25"/>
        <v>292416.69540238025</v>
      </c>
      <c r="X93" s="10">
        <f>K93</f>
        <v>110269.97045173435</v>
      </c>
      <c r="Y93" s="10">
        <f t="shared" si="18"/>
        <v>82146.724950645905</v>
      </c>
    </row>
    <row r="94" spans="6:25" x14ac:dyDescent="0.25">
      <c r="F94" s="2">
        <f t="shared" si="27"/>
        <v>8</v>
      </c>
      <c r="G94" s="2">
        <f t="shared" si="28"/>
        <v>8</v>
      </c>
      <c r="H94" s="10">
        <f t="shared" si="21"/>
        <v>-887.35615656627056</v>
      </c>
      <c r="I94" s="11">
        <f t="shared" si="14"/>
        <v>-275.67492612933586</v>
      </c>
      <c r="J94" s="10">
        <f t="shared" si="15"/>
        <v>-611.6812304369347</v>
      </c>
      <c r="K94" s="10">
        <f t="shared" si="16"/>
        <v>109658.28922129741</v>
      </c>
      <c r="L94" s="11">
        <f>-($C$15/12+$C$17*$C$11/12+$C$18/12*(1+$C$19)^($F94-1)+$C$20*W94/12)-N94*$C$37</f>
        <v>-545.77881112634907</v>
      </c>
      <c r="M94" s="11">
        <f t="shared" si="19"/>
        <v>-976.38281750188787</v>
      </c>
      <c r="N94" s="11">
        <f t="shared" si="20"/>
        <v>898.27219210173689</v>
      </c>
      <c r="O94" s="11">
        <f>H94+L94+M94+N94</f>
        <v>-1511.2455930927708</v>
      </c>
      <c r="P94" s="11"/>
      <c r="Q94" s="11">
        <f t="shared" si="22"/>
        <v>199195.41564179285</v>
      </c>
      <c r="R94" s="11">
        <f t="shared" si="23"/>
        <v>-976.38281750188787</v>
      </c>
      <c r="S94" s="11">
        <f t="shared" si="24"/>
        <v>534.86277559088296</v>
      </c>
      <c r="T94" s="11">
        <f t="shared" si="26"/>
        <v>44750.541688576683</v>
      </c>
      <c r="U94" s="12"/>
      <c r="V94" s="10">
        <f t="shared" si="17"/>
        <v>-100000</v>
      </c>
      <c r="W94" s="13">
        <f t="shared" si="25"/>
        <v>292416.69540238025</v>
      </c>
      <c r="X94" s="10">
        <f>K94</f>
        <v>109658.28922129741</v>
      </c>
      <c r="Y94" s="10">
        <f t="shared" si="18"/>
        <v>82758.406181082828</v>
      </c>
    </row>
    <row r="95" spans="6:25" x14ac:dyDescent="0.25">
      <c r="F95" s="2">
        <f t="shared" si="27"/>
        <v>8</v>
      </c>
      <c r="G95" s="2">
        <f t="shared" si="28"/>
        <v>9</v>
      </c>
      <c r="H95" s="10">
        <f t="shared" si="21"/>
        <v>-887.35615656627056</v>
      </c>
      <c r="I95" s="11">
        <f t="shared" si="14"/>
        <v>-274.14572305324356</v>
      </c>
      <c r="J95" s="10">
        <f t="shared" si="15"/>
        <v>-613.21043351302706</v>
      </c>
      <c r="K95" s="10">
        <f t="shared" si="16"/>
        <v>109045.07878778438</v>
      </c>
      <c r="L95" s="11">
        <f>-($C$15/12+$C$17*$C$11/12+$C$18/12*(1+$C$19)^($F95-1)+$C$20*W95/12)-N95*$C$37</f>
        <v>-545.77881112634907</v>
      </c>
      <c r="M95" s="11">
        <f t="shared" si="19"/>
        <v>-976.38281750188787</v>
      </c>
      <c r="N95" s="11">
        <f t="shared" si="20"/>
        <v>898.27219210173689</v>
      </c>
      <c r="O95" s="11">
        <f>H95+L95+M95+N95</f>
        <v>-1511.2455930927708</v>
      </c>
      <c r="P95" s="11"/>
      <c r="Q95" s="11">
        <f t="shared" si="22"/>
        <v>200541.82519784369</v>
      </c>
      <c r="R95" s="11">
        <f t="shared" si="23"/>
        <v>-976.38281750188787</v>
      </c>
      <c r="S95" s="11">
        <f t="shared" si="24"/>
        <v>534.86277559088296</v>
      </c>
      <c r="T95" s="11">
        <f t="shared" si="26"/>
        <v>45285.404464167565</v>
      </c>
      <c r="U95" s="12"/>
      <c r="V95" s="10">
        <f t="shared" si="17"/>
        <v>-100000</v>
      </c>
      <c r="W95" s="13">
        <f t="shared" si="25"/>
        <v>292416.69540238025</v>
      </c>
      <c r="X95" s="10">
        <f>K95</f>
        <v>109045.07878778438</v>
      </c>
      <c r="Y95" s="10">
        <f t="shared" si="18"/>
        <v>83371.61661459587</v>
      </c>
    </row>
    <row r="96" spans="6:25" x14ac:dyDescent="0.25">
      <c r="F96" s="2">
        <f t="shared" si="27"/>
        <v>8</v>
      </c>
      <c r="G96" s="2">
        <f t="shared" si="28"/>
        <v>10</v>
      </c>
      <c r="H96" s="10">
        <f t="shared" si="21"/>
        <v>-887.35615656627056</v>
      </c>
      <c r="I96" s="11">
        <f t="shared" si="14"/>
        <v>-272.61269696946096</v>
      </c>
      <c r="J96" s="10">
        <f t="shared" si="15"/>
        <v>-614.74345959680954</v>
      </c>
      <c r="K96" s="10">
        <f t="shared" si="16"/>
        <v>108430.33532818758</v>
      </c>
      <c r="L96" s="11">
        <f>-($C$15/12+$C$17*$C$11/12+$C$18/12*(1+$C$19)^($F96-1)+$C$20*W96/12)-N96*$C$37</f>
        <v>-545.77881112634907</v>
      </c>
      <c r="M96" s="11">
        <f t="shared" si="19"/>
        <v>-976.38281750188787</v>
      </c>
      <c r="N96" s="11">
        <f t="shared" si="20"/>
        <v>898.27219210173689</v>
      </c>
      <c r="O96" s="11">
        <f>H96+L96+M96+N96</f>
        <v>-1511.2455930927708</v>
      </c>
      <c r="P96" s="11"/>
      <c r="Q96" s="11">
        <f t="shared" si="22"/>
        <v>201893.72019308936</v>
      </c>
      <c r="R96" s="11">
        <f t="shared" si="23"/>
        <v>-976.38281750188787</v>
      </c>
      <c r="S96" s="11">
        <f t="shared" si="24"/>
        <v>534.86277559088296</v>
      </c>
      <c r="T96" s="11">
        <f t="shared" si="26"/>
        <v>45820.267239758447</v>
      </c>
      <c r="U96" s="12"/>
      <c r="V96" s="10">
        <f t="shared" si="17"/>
        <v>-100000</v>
      </c>
      <c r="W96" s="13">
        <f t="shared" si="25"/>
        <v>292416.69540238025</v>
      </c>
      <c r="X96" s="10">
        <f>K96</f>
        <v>108430.33532818758</v>
      </c>
      <c r="Y96" s="10">
        <f t="shared" si="18"/>
        <v>83986.360074192693</v>
      </c>
    </row>
    <row r="97" spans="6:25" x14ac:dyDescent="0.25">
      <c r="F97" s="2">
        <f t="shared" si="27"/>
        <v>8</v>
      </c>
      <c r="G97" s="2">
        <f t="shared" si="28"/>
        <v>11</v>
      </c>
      <c r="H97" s="10">
        <f t="shared" si="21"/>
        <v>-887.35615656627056</v>
      </c>
      <c r="I97" s="11">
        <f t="shared" si="14"/>
        <v>-271.07583832046896</v>
      </c>
      <c r="J97" s="10">
        <f t="shared" si="15"/>
        <v>-616.2803182458016</v>
      </c>
      <c r="K97" s="10">
        <f t="shared" si="16"/>
        <v>107814.05500994177</v>
      </c>
      <c r="L97" s="11">
        <f>-($C$15/12+$C$17*$C$11/12+$C$18/12*(1+$C$19)^($F97-1)+$C$20*W97/12)-N97*$C$37</f>
        <v>-545.77881112634907</v>
      </c>
      <c r="M97" s="11">
        <f t="shared" si="19"/>
        <v>-976.38281750188787</v>
      </c>
      <c r="N97" s="11">
        <f t="shared" si="20"/>
        <v>898.27219210173689</v>
      </c>
      <c r="O97" s="11">
        <f>H97+L97+M97+N97</f>
        <v>-1511.2455930927708</v>
      </c>
      <c r="P97" s="11"/>
      <c r="Q97" s="11">
        <f t="shared" si="22"/>
        <v>203251.12297588817</v>
      </c>
      <c r="R97" s="11">
        <f t="shared" si="23"/>
        <v>-976.38281750188787</v>
      </c>
      <c r="S97" s="11">
        <f t="shared" si="24"/>
        <v>534.86277559088296</v>
      </c>
      <c r="T97" s="11">
        <f t="shared" si="26"/>
        <v>46355.130015349328</v>
      </c>
      <c r="U97" s="12"/>
      <c r="V97" s="10">
        <f t="shared" si="17"/>
        <v>-100000</v>
      </c>
      <c r="W97" s="13">
        <f t="shared" si="25"/>
        <v>292416.69540238025</v>
      </c>
      <c r="X97" s="10">
        <f>K97</f>
        <v>107814.05500994177</v>
      </c>
      <c r="Y97" s="10">
        <f t="shared" si="18"/>
        <v>84602.640392438479</v>
      </c>
    </row>
    <row r="98" spans="6:25" x14ac:dyDescent="0.25">
      <c r="F98" s="2">
        <f t="shared" si="27"/>
        <v>8</v>
      </c>
      <c r="G98" s="2">
        <f t="shared" si="28"/>
        <v>12</v>
      </c>
      <c r="H98" s="10">
        <f t="shared" si="21"/>
        <v>-887.35615656627056</v>
      </c>
      <c r="I98" s="11">
        <f t="shared" si="14"/>
        <v>-269.53513752485446</v>
      </c>
      <c r="J98" s="10">
        <f t="shared" si="15"/>
        <v>-617.82101904141609</v>
      </c>
      <c r="K98" s="10">
        <f t="shared" si="16"/>
        <v>107196.23399090036</v>
      </c>
      <c r="L98" s="11">
        <f>-($C$15/12+$C$17*$C$11/12+$C$18/12*(1+$C$19)^($F98-1)+$C$20*W98/12)-N98*$C$37</f>
        <v>-545.77881112634907</v>
      </c>
      <c r="M98" s="11">
        <f t="shared" si="19"/>
        <v>-976.38281750188787</v>
      </c>
      <c r="N98" s="11">
        <f t="shared" si="20"/>
        <v>898.27219210173689</v>
      </c>
      <c r="O98" s="11">
        <f>H98+L98+M98+N98</f>
        <v>-1511.2455930927708</v>
      </c>
      <c r="P98" s="11"/>
      <c r="Q98" s="11">
        <f t="shared" si="22"/>
        <v>204614.05598564836</v>
      </c>
      <c r="R98" s="11">
        <f t="shared" si="23"/>
        <v>-976.38281750188787</v>
      </c>
      <c r="S98" s="11">
        <f t="shared" si="24"/>
        <v>534.86277559088296</v>
      </c>
      <c r="T98" s="11">
        <f t="shared" si="26"/>
        <v>46889.99279094021</v>
      </c>
      <c r="U98" s="12"/>
      <c r="V98" s="10">
        <f t="shared" si="17"/>
        <v>-100000</v>
      </c>
      <c r="W98" s="13">
        <f t="shared" si="25"/>
        <v>292416.69540238025</v>
      </c>
      <c r="X98" s="10">
        <f>K98</f>
        <v>107196.23399090036</v>
      </c>
      <c r="Y98" s="10">
        <f t="shared" si="18"/>
        <v>85220.46141147989</v>
      </c>
    </row>
    <row r="99" spans="6:25" x14ac:dyDescent="0.25">
      <c r="F99" s="2">
        <f t="shared" si="27"/>
        <v>9</v>
      </c>
      <c r="G99" s="2">
        <f t="shared" si="28"/>
        <v>1</v>
      </c>
      <c r="H99" s="10">
        <f t="shared" si="21"/>
        <v>-887.35615656627056</v>
      </c>
      <c r="I99" s="11">
        <f t="shared" si="14"/>
        <v>-267.99058497725093</v>
      </c>
      <c r="J99" s="10">
        <f t="shared" si="15"/>
        <v>-619.36557158901962</v>
      </c>
      <c r="K99" s="10">
        <f t="shared" si="16"/>
        <v>106576.86841931134</v>
      </c>
      <c r="L99" s="11">
        <f>-($C$15/12+$C$17*$C$11/12+$C$18/12*(1+$C$19)^($F99-1)+$C$20*W99/12)-N99*$C$37</f>
        <v>-555.24612357971932</v>
      </c>
      <c r="M99" s="11">
        <f t="shared" si="19"/>
        <v>-995.91047385192564</v>
      </c>
      <c r="N99" s="11">
        <f t="shared" si="20"/>
        <v>916.23763594377158</v>
      </c>
      <c r="O99" s="11">
        <f>H99+L99+M99+N99</f>
        <v>-1522.2751180541441</v>
      </c>
      <c r="P99" s="11"/>
      <c r="Q99" s="11">
        <f t="shared" si="22"/>
        <v>205974.04362181047</v>
      </c>
      <c r="R99" s="11">
        <f t="shared" si="23"/>
        <v>-995.91047385192564</v>
      </c>
      <c r="S99" s="11">
        <f t="shared" si="24"/>
        <v>526.36464420221841</v>
      </c>
      <c r="T99" s="11">
        <f t="shared" si="26"/>
        <v>47416.357435142432</v>
      </c>
      <c r="U99" s="12"/>
      <c r="V99" s="10">
        <f t="shared" si="17"/>
        <v>-100000</v>
      </c>
      <c r="W99" s="13">
        <f t="shared" si="25"/>
        <v>299727.11278743972</v>
      </c>
      <c r="X99" s="10">
        <f>K99</f>
        <v>106576.86841931134</v>
      </c>
      <c r="Y99" s="10">
        <f t="shared" si="18"/>
        <v>93150.244368128362</v>
      </c>
    </row>
    <row r="100" spans="6:25" x14ac:dyDescent="0.25">
      <c r="F100" s="2">
        <f t="shared" si="27"/>
        <v>9</v>
      </c>
      <c r="G100" s="2">
        <f t="shared" si="28"/>
        <v>2</v>
      </c>
      <c r="H100" s="10">
        <f t="shared" si="21"/>
        <v>-887.35615656627056</v>
      </c>
      <c r="I100" s="11">
        <f t="shared" si="14"/>
        <v>-266.44217104827834</v>
      </c>
      <c r="J100" s="10">
        <f t="shared" si="15"/>
        <v>-620.91398551799216</v>
      </c>
      <c r="K100" s="10">
        <f t="shared" si="16"/>
        <v>105955.95443379335</v>
      </c>
      <c r="L100" s="11">
        <f>-($C$15/12+$C$17*$C$11/12+$C$18/12*(1+$C$19)^($F100-1)+$C$20*W100/12)-N100*$C$37</f>
        <v>-555.24612357971932</v>
      </c>
      <c r="M100" s="11">
        <f t="shared" si="19"/>
        <v>-995.91047385192564</v>
      </c>
      <c r="N100" s="11">
        <f t="shared" si="20"/>
        <v>916.23763594377158</v>
      </c>
      <c r="O100" s="11">
        <f>H100+L100+M100+N100</f>
        <v>-1522.2751180541441</v>
      </c>
      <c r="P100" s="11"/>
      <c r="Q100" s="11">
        <f t="shared" si="22"/>
        <v>207339.57201594656</v>
      </c>
      <c r="R100" s="11">
        <f t="shared" si="23"/>
        <v>-995.91047385192564</v>
      </c>
      <c r="S100" s="11">
        <f t="shared" si="24"/>
        <v>526.36464420221841</v>
      </c>
      <c r="T100" s="11">
        <f t="shared" si="26"/>
        <v>47942.722079344654</v>
      </c>
      <c r="U100" s="12"/>
      <c r="V100" s="10">
        <f t="shared" si="17"/>
        <v>-100000</v>
      </c>
      <c r="W100" s="13">
        <f t="shared" si="25"/>
        <v>299727.11278743972</v>
      </c>
      <c r="X100" s="10">
        <f>K100</f>
        <v>105955.95443379335</v>
      </c>
      <c r="Y100" s="10">
        <f t="shared" si="18"/>
        <v>93771.158353646373</v>
      </c>
    </row>
    <row r="101" spans="6:25" x14ac:dyDescent="0.25">
      <c r="F101" s="2">
        <f t="shared" si="27"/>
        <v>9</v>
      </c>
      <c r="G101" s="2">
        <f t="shared" si="28"/>
        <v>3</v>
      </c>
      <c r="H101" s="10">
        <f t="shared" si="21"/>
        <v>-887.35615656627056</v>
      </c>
      <c r="I101" s="11">
        <f t="shared" si="14"/>
        <v>-264.88988608448335</v>
      </c>
      <c r="J101" s="10">
        <f t="shared" si="15"/>
        <v>-622.46627048178721</v>
      </c>
      <c r="K101" s="10">
        <f t="shared" si="16"/>
        <v>105333.48816331156</v>
      </c>
      <c r="L101" s="11">
        <f>-($C$15/12+$C$17*$C$11/12+$C$18/12*(1+$C$19)^($F101-1)+$C$20*W101/12)-N101*$C$37</f>
        <v>-555.24612357971932</v>
      </c>
      <c r="M101" s="11">
        <f t="shared" si="19"/>
        <v>-995.91047385192564</v>
      </c>
      <c r="N101" s="11">
        <f t="shared" si="20"/>
        <v>916.23763594377158</v>
      </c>
      <c r="O101" s="11">
        <f>H101+L101+M101+N101</f>
        <v>-1522.2751180541441</v>
      </c>
      <c r="P101" s="11"/>
      <c r="Q101" s="11">
        <f t="shared" si="22"/>
        <v>208710.66374179043</v>
      </c>
      <c r="R101" s="11">
        <f t="shared" si="23"/>
        <v>-995.91047385192564</v>
      </c>
      <c r="S101" s="11">
        <f t="shared" si="24"/>
        <v>526.36464420221841</v>
      </c>
      <c r="T101" s="11">
        <f t="shared" si="26"/>
        <v>48469.086723546876</v>
      </c>
      <c r="U101" s="12"/>
      <c r="V101" s="10">
        <f t="shared" si="17"/>
        <v>-100000</v>
      </c>
      <c r="W101" s="13">
        <f t="shared" si="25"/>
        <v>299727.11278743972</v>
      </c>
      <c r="X101" s="10">
        <f>K101</f>
        <v>105333.48816331156</v>
      </c>
      <c r="Y101" s="10">
        <f t="shared" si="18"/>
        <v>94393.624624128162</v>
      </c>
    </row>
    <row r="102" spans="6:25" x14ac:dyDescent="0.25">
      <c r="F102" s="2">
        <f t="shared" si="27"/>
        <v>9</v>
      </c>
      <c r="G102" s="2">
        <f t="shared" si="28"/>
        <v>4</v>
      </c>
      <c r="H102" s="10">
        <f t="shared" si="21"/>
        <v>-887.35615656627056</v>
      </c>
      <c r="I102" s="11">
        <f t="shared" si="14"/>
        <v>-263.33372040827891</v>
      </c>
      <c r="J102" s="10">
        <f t="shared" si="15"/>
        <v>-624.02243615799171</v>
      </c>
      <c r="K102" s="10">
        <f t="shared" si="16"/>
        <v>104709.46572715357</v>
      </c>
      <c r="L102" s="11">
        <f>-($C$15/12+$C$17*$C$11/12+$C$18/12*(1+$C$19)^($F102-1)+$C$20*W102/12)-N102*$C$37</f>
        <v>-555.24612357971932</v>
      </c>
      <c r="M102" s="11">
        <f t="shared" si="19"/>
        <v>-995.91047385192564</v>
      </c>
      <c r="N102" s="11">
        <f t="shared" si="20"/>
        <v>916.23763594377158</v>
      </c>
      <c r="O102" s="11">
        <f>H102+L102+M102+N102</f>
        <v>-1522.2751180541441</v>
      </c>
      <c r="P102" s="11"/>
      <c r="Q102" s="11">
        <f t="shared" si="22"/>
        <v>210087.34146504413</v>
      </c>
      <c r="R102" s="11">
        <f t="shared" si="23"/>
        <v>-995.91047385192564</v>
      </c>
      <c r="S102" s="11">
        <f t="shared" si="24"/>
        <v>526.36464420221841</v>
      </c>
      <c r="T102" s="11">
        <f t="shared" si="26"/>
        <v>48995.451367749098</v>
      </c>
      <c r="U102" s="12"/>
      <c r="V102" s="10">
        <f t="shared" si="17"/>
        <v>-100000</v>
      </c>
      <c r="W102" s="13">
        <f t="shared" si="25"/>
        <v>299727.11278743972</v>
      </c>
      <c r="X102" s="10">
        <f>K102</f>
        <v>104709.46572715357</v>
      </c>
      <c r="Y102" s="10">
        <f t="shared" si="18"/>
        <v>95017.647060286137</v>
      </c>
    </row>
    <row r="103" spans="6:25" x14ac:dyDescent="0.25">
      <c r="F103" s="2">
        <f t="shared" si="27"/>
        <v>9</v>
      </c>
      <c r="G103" s="2">
        <f t="shared" si="28"/>
        <v>5</v>
      </c>
      <c r="H103" s="10">
        <f t="shared" si="21"/>
        <v>-887.35615656627056</v>
      </c>
      <c r="I103" s="11">
        <f t="shared" si="14"/>
        <v>-261.77366431788391</v>
      </c>
      <c r="J103" s="10">
        <f t="shared" si="15"/>
        <v>-625.58249224838664</v>
      </c>
      <c r="K103" s="10">
        <f t="shared" si="16"/>
        <v>104083.88323490518</v>
      </c>
      <c r="L103" s="11">
        <f>-($C$15/12+$C$17*$C$11/12+$C$18/12*(1+$C$19)^($F103-1)+$C$20*W103/12)-N103*$C$37</f>
        <v>-555.24612357971932</v>
      </c>
      <c r="M103" s="11">
        <f t="shared" si="19"/>
        <v>-995.91047385192564</v>
      </c>
      <c r="N103" s="11">
        <f t="shared" si="20"/>
        <v>916.23763594377158</v>
      </c>
      <c r="O103" s="11">
        <f>H103+L103+M103+N103</f>
        <v>-1522.2751180541441</v>
      </c>
      <c r="P103" s="11"/>
      <c r="Q103" s="11">
        <f t="shared" si="22"/>
        <v>211469.62794375254</v>
      </c>
      <c r="R103" s="11">
        <f t="shared" si="23"/>
        <v>-995.91047385192564</v>
      </c>
      <c r="S103" s="11">
        <f t="shared" si="24"/>
        <v>526.36464420221841</v>
      </c>
      <c r="T103" s="11">
        <f t="shared" si="26"/>
        <v>49521.81601195132</v>
      </c>
      <c r="U103" s="12"/>
      <c r="V103" s="10">
        <f t="shared" si="17"/>
        <v>-100000</v>
      </c>
      <c r="W103" s="13">
        <f t="shared" si="25"/>
        <v>299727.11278743972</v>
      </c>
      <c r="X103" s="10">
        <f>K103</f>
        <v>104083.88323490518</v>
      </c>
      <c r="Y103" s="10">
        <f t="shared" si="18"/>
        <v>95643.229552534525</v>
      </c>
    </row>
    <row r="104" spans="6:25" x14ac:dyDescent="0.25">
      <c r="F104" s="2">
        <f t="shared" si="27"/>
        <v>9</v>
      </c>
      <c r="G104" s="2">
        <f t="shared" si="28"/>
        <v>6</v>
      </c>
      <c r="H104" s="10">
        <f t="shared" si="21"/>
        <v>-887.35615656627056</v>
      </c>
      <c r="I104" s="11">
        <f t="shared" si="14"/>
        <v>-260.20970808726298</v>
      </c>
      <c r="J104" s="10">
        <f t="shared" si="15"/>
        <v>-627.14644847900763</v>
      </c>
      <c r="K104" s="10">
        <f t="shared" si="16"/>
        <v>103456.73678642618</v>
      </c>
      <c r="L104" s="11">
        <f>-($C$15/12+$C$17*$C$11/12+$C$18/12*(1+$C$19)^($F104-1)+$C$20*W104/12)-N104*$C$37</f>
        <v>-555.24612357971932</v>
      </c>
      <c r="M104" s="11">
        <f t="shared" si="19"/>
        <v>-995.91047385192564</v>
      </c>
      <c r="N104" s="11">
        <f t="shared" si="20"/>
        <v>916.23763594377158</v>
      </c>
      <c r="O104" s="11">
        <f>H104+L104+M104+N104</f>
        <v>-1522.2751180541441</v>
      </c>
      <c r="P104" s="11"/>
      <c r="Q104" s="11">
        <f t="shared" si="22"/>
        <v>212857.54602867967</v>
      </c>
      <c r="R104" s="11">
        <f t="shared" si="23"/>
        <v>-995.91047385192564</v>
      </c>
      <c r="S104" s="11">
        <f t="shared" si="24"/>
        <v>526.36464420221841</v>
      </c>
      <c r="T104" s="11">
        <f t="shared" si="26"/>
        <v>50048.180656153541</v>
      </c>
      <c r="U104" s="12"/>
      <c r="V104" s="10">
        <f t="shared" si="17"/>
        <v>-100000</v>
      </c>
      <c r="W104" s="13">
        <f t="shared" si="25"/>
        <v>299727.11278743972</v>
      </c>
      <c r="X104" s="10">
        <f>K104</f>
        <v>103456.73678642618</v>
      </c>
      <c r="Y104" s="10">
        <f t="shared" si="18"/>
        <v>96270.376001013559</v>
      </c>
    </row>
    <row r="105" spans="6:25" x14ac:dyDescent="0.25">
      <c r="F105" s="2">
        <f t="shared" si="27"/>
        <v>9</v>
      </c>
      <c r="G105" s="2">
        <f t="shared" si="28"/>
        <v>7</v>
      </c>
      <c r="H105" s="10">
        <f t="shared" si="21"/>
        <v>-887.35615656627056</v>
      </c>
      <c r="I105" s="11">
        <f t="shared" si="14"/>
        <v>-258.64184196606544</v>
      </c>
      <c r="J105" s="10">
        <f t="shared" si="15"/>
        <v>-628.71431460020517</v>
      </c>
      <c r="K105" s="10">
        <f t="shared" si="16"/>
        <v>102828.02247182597</v>
      </c>
      <c r="L105" s="11">
        <f>-($C$15/12+$C$17*$C$11/12+$C$18/12*(1+$C$19)^($F105-1)+$C$20*W105/12)-N105*$C$37</f>
        <v>-555.24612357971932</v>
      </c>
      <c r="M105" s="11">
        <f t="shared" si="19"/>
        <v>-995.91047385192564</v>
      </c>
      <c r="N105" s="11">
        <f t="shared" si="20"/>
        <v>916.23763594377158</v>
      </c>
      <c r="O105" s="11">
        <f>H105+L105+M105+N105</f>
        <v>-1522.2751180541441</v>
      </c>
      <c r="P105" s="11"/>
      <c r="Q105" s="11">
        <f t="shared" si="22"/>
        <v>214251.11866368636</v>
      </c>
      <c r="R105" s="11">
        <f t="shared" si="23"/>
        <v>-995.91047385192564</v>
      </c>
      <c r="S105" s="11">
        <f t="shared" si="24"/>
        <v>526.36464420221841</v>
      </c>
      <c r="T105" s="11">
        <f t="shared" si="26"/>
        <v>50574.545300355763</v>
      </c>
      <c r="U105" s="12"/>
      <c r="V105" s="10">
        <f t="shared" si="17"/>
        <v>-100000</v>
      </c>
      <c r="W105" s="13">
        <f t="shared" si="25"/>
        <v>299727.11278743972</v>
      </c>
      <c r="X105" s="10">
        <f>K105</f>
        <v>102828.02247182597</v>
      </c>
      <c r="Y105" s="10">
        <f t="shared" si="18"/>
        <v>96899.09031561375</v>
      </c>
    </row>
    <row r="106" spans="6:25" x14ac:dyDescent="0.25">
      <c r="F106" s="2">
        <f t="shared" si="27"/>
        <v>9</v>
      </c>
      <c r="G106" s="2">
        <f t="shared" si="28"/>
        <v>8</v>
      </c>
      <c r="H106" s="10">
        <f t="shared" si="21"/>
        <v>-887.35615656627056</v>
      </c>
      <c r="I106" s="11">
        <f t="shared" si="14"/>
        <v>-257.07005617956492</v>
      </c>
      <c r="J106" s="10">
        <f t="shared" si="15"/>
        <v>-630.28610038670558</v>
      </c>
      <c r="K106" s="10">
        <f t="shared" si="16"/>
        <v>102197.73637143927</v>
      </c>
      <c r="L106" s="11">
        <f>-($C$15/12+$C$17*$C$11/12+$C$18/12*(1+$C$19)^($F106-1)+$C$20*W106/12)-N106*$C$37</f>
        <v>-555.24612357971932</v>
      </c>
      <c r="M106" s="11">
        <f t="shared" si="19"/>
        <v>-995.91047385192564</v>
      </c>
      <c r="N106" s="11">
        <f t="shared" si="20"/>
        <v>916.23763594377158</v>
      </c>
      <c r="O106" s="11">
        <f>H106+L106+M106+N106</f>
        <v>-1522.2751180541441</v>
      </c>
      <c r="P106" s="11"/>
      <c r="Q106" s="11">
        <f t="shared" si="22"/>
        <v>215650.36888610959</v>
      </c>
      <c r="R106" s="11">
        <f t="shared" si="23"/>
        <v>-995.91047385192564</v>
      </c>
      <c r="S106" s="11">
        <f t="shared" si="24"/>
        <v>526.36464420221841</v>
      </c>
      <c r="T106" s="11">
        <f t="shared" si="26"/>
        <v>51100.909944557985</v>
      </c>
      <c r="U106" s="12"/>
      <c r="V106" s="10">
        <f t="shared" si="17"/>
        <v>-100000</v>
      </c>
      <c r="W106" s="13">
        <f t="shared" si="25"/>
        <v>299727.11278743972</v>
      </c>
      <c r="X106" s="10">
        <f>K106</f>
        <v>102197.73637143927</v>
      </c>
      <c r="Y106" s="10">
        <f t="shared" si="18"/>
        <v>97529.37641600045</v>
      </c>
    </row>
    <row r="107" spans="6:25" x14ac:dyDescent="0.25">
      <c r="F107" s="2">
        <f t="shared" si="27"/>
        <v>9</v>
      </c>
      <c r="G107" s="2">
        <f t="shared" si="28"/>
        <v>9</v>
      </c>
      <c r="H107" s="10">
        <f t="shared" si="21"/>
        <v>-887.35615656627056</v>
      </c>
      <c r="I107" s="11">
        <f t="shared" si="14"/>
        <v>-255.49434092859818</v>
      </c>
      <c r="J107" s="10">
        <f t="shared" si="15"/>
        <v>-631.86181563767241</v>
      </c>
      <c r="K107" s="10">
        <f t="shared" si="16"/>
        <v>101565.87455580159</v>
      </c>
      <c r="L107" s="11">
        <f>-($C$15/12+$C$17*$C$11/12+$C$18/12*(1+$C$19)^($F107-1)+$C$20*W107/12)-N107*$C$37</f>
        <v>-555.24612357971932</v>
      </c>
      <c r="M107" s="11">
        <f t="shared" si="19"/>
        <v>-995.91047385192564</v>
      </c>
      <c r="N107" s="11">
        <f t="shared" si="20"/>
        <v>916.23763594377158</v>
      </c>
      <c r="O107" s="11">
        <f>H107+L107+M107+N107</f>
        <v>-1522.2751180541441</v>
      </c>
      <c r="P107" s="11"/>
      <c r="Q107" s="11">
        <f t="shared" si="22"/>
        <v>217055.31982714325</v>
      </c>
      <c r="R107" s="11">
        <f t="shared" si="23"/>
        <v>-995.91047385192564</v>
      </c>
      <c r="S107" s="11">
        <f t="shared" si="24"/>
        <v>526.36464420221841</v>
      </c>
      <c r="T107" s="11">
        <f t="shared" si="26"/>
        <v>51627.274588760207</v>
      </c>
      <c r="U107" s="12"/>
      <c r="V107" s="10">
        <f t="shared" si="17"/>
        <v>-100000</v>
      </c>
      <c r="W107" s="13">
        <f t="shared" si="25"/>
        <v>299727.11278743972</v>
      </c>
      <c r="X107" s="10">
        <f>K107</f>
        <v>101565.87455580159</v>
      </c>
      <c r="Y107" s="10">
        <f t="shared" si="18"/>
        <v>98161.238231638126</v>
      </c>
    </row>
    <row r="108" spans="6:25" x14ac:dyDescent="0.25">
      <c r="F108" s="2">
        <f t="shared" si="27"/>
        <v>9</v>
      </c>
      <c r="G108" s="2">
        <f t="shared" si="28"/>
        <v>10</v>
      </c>
      <c r="H108" s="10">
        <f t="shared" si="21"/>
        <v>-887.35615656627056</v>
      </c>
      <c r="I108" s="11">
        <f t="shared" si="14"/>
        <v>-253.914686389504</v>
      </c>
      <c r="J108" s="10">
        <f t="shared" si="15"/>
        <v>-633.44147017676653</v>
      </c>
      <c r="K108" s="10">
        <f t="shared" si="16"/>
        <v>100932.43308562483</v>
      </c>
      <c r="L108" s="11">
        <f>-($C$15/12+$C$17*$C$11/12+$C$18/12*(1+$C$19)^($F108-1)+$C$20*W108/12)-N108*$C$37</f>
        <v>-555.24612357971932</v>
      </c>
      <c r="M108" s="11">
        <f t="shared" si="19"/>
        <v>-995.91047385192564</v>
      </c>
      <c r="N108" s="11">
        <f t="shared" si="20"/>
        <v>916.23763594377158</v>
      </c>
      <c r="O108" s="11">
        <f>H108+L108+M108+N108</f>
        <v>-1522.2751180541441</v>
      </c>
      <c r="P108" s="11"/>
      <c r="Q108" s="11">
        <f t="shared" si="22"/>
        <v>218465.99471222065</v>
      </c>
      <c r="R108" s="11">
        <f t="shared" si="23"/>
        <v>-995.91047385192564</v>
      </c>
      <c r="S108" s="11">
        <f t="shared" si="24"/>
        <v>526.36464420221841</v>
      </c>
      <c r="T108" s="11">
        <f t="shared" si="26"/>
        <v>52153.639232962429</v>
      </c>
      <c r="U108" s="12"/>
      <c r="V108" s="10">
        <f t="shared" si="17"/>
        <v>-100000</v>
      </c>
      <c r="W108" s="13">
        <f t="shared" si="25"/>
        <v>299727.11278743972</v>
      </c>
      <c r="X108" s="10">
        <f>K108</f>
        <v>100932.43308562483</v>
      </c>
      <c r="Y108" s="10">
        <f t="shared" si="18"/>
        <v>98794.679701814894</v>
      </c>
    </row>
    <row r="109" spans="6:25" x14ac:dyDescent="0.25">
      <c r="F109" s="2">
        <f t="shared" si="27"/>
        <v>9</v>
      </c>
      <c r="G109" s="2">
        <f t="shared" si="28"/>
        <v>11</v>
      </c>
      <c r="H109" s="10">
        <f t="shared" si="21"/>
        <v>-887.35615656627056</v>
      </c>
      <c r="I109" s="11">
        <f t="shared" si="14"/>
        <v>-252.33108271406206</v>
      </c>
      <c r="J109" s="10">
        <f t="shared" si="15"/>
        <v>-635.02507385220849</v>
      </c>
      <c r="K109" s="10">
        <f t="shared" si="16"/>
        <v>100297.40801177261</v>
      </c>
      <c r="L109" s="11">
        <f>-($C$15/12+$C$17*$C$11/12+$C$18/12*(1+$C$19)^($F109-1)+$C$20*W109/12)-N109*$C$37</f>
        <v>-555.24612357971932</v>
      </c>
      <c r="M109" s="11">
        <f t="shared" si="19"/>
        <v>-995.91047385192564</v>
      </c>
      <c r="N109" s="11">
        <f t="shared" si="20"/>
        <v>916.23763594377158</v>
      </c>
      <c r="O109" s="11">
        <f>H109+L109+M109+N109</f>
        <v>-1522.2751180541441</v>
      </c>
      <c r="P109" s="11"/>
      <c r="Q109" s="11">
        <f t="shared" si="22"/>
        <v>219882.41686139832</v>
      </c>
      <c r="R109" s="11">
        <f t="shared" si="23"/>
        <v>-995.91047385192564</v>
      </c>
      <c r="S109" s="11">
        <f t="shared" si="24"/>
        <v>526.36464420221841</v>
      </c>
      <c r="T109" s="11">
        <f t="shared" si="26"/>
        <v>52680.00387716465</v>
      </c>
      <c r="U109" s="12"/>
      <c r="V109" s="10">
        <f t="shared" si="17"/>
        <v>-100000</v>
      </c>
      <c r="W109" s="13">
        <f t="shared" si="25"/>
        <v>299727.11278743972</v>
      </c>
      <c r="X109" s="10">
        <f>K109</f>
        <v>100297.40801177261</v>
      </c>
      <c r="Y109" s="10">
        <f t="shared" si="18"/>
        <v>99429.704775667109</v>
      </c>
    </row>
    <row r="110" spans="6:25" x14ac:dyDescent="0.25">
      <c r="F110" s="2">
        <f t="shared" si="27"/>
        <v>9</v>
      </c>
      <c r="G110" s="2">
        <f t="shared" si="28"/>
        <v>12</v>
      </c>
      <c r="H110" s="10">
        <f t="shared" si="21"/>
        <v>-887.35615656627056</v>
      </c>
      <c r="I110" s="11">
        <f t="shared" si="14"/>
        <v>-250.74352002943152</v>
      </c>
      <c r="J110" s="10">
        <f t="shared" si="15"/>
        <v>-636.61263653683909</v>
      </c>
      <c r="K110" s="10">
        <f t="shared" si="16"/>
        <v>99660.795375235772</v>
      </c>
      <c r="L110" s="11">
        <f>-($C$15/12+$C$17*$C$11/12+$C$18/12*(1+$C$19)^($F110-1)+$C$20*W110/12)-N110*$C$37</f>
        <v>-555.24612357971932</v>
      </c>
      <c r="M110" s="11">
        <f t="shared" si="19"/>
        <v>-995.91047385192564</v>
      </c>
      <c r="N110" s="11">
        <f t="shared" si="20"/>
        <v>916.23763594377158</v>
      </c>
      <c r="O110" s="11">
        <f>H110+L110+M110+N110</f>
        <v>-1522.2751180541441</v>
      </c>
      <c r="P110" s="11"/>
      <c r="Q110" s="11">
        <f t="shared" si="22"/>
        <v>221304.60968974166</v>
      </c>
      <c r="R110" s="11">
        <f t="shared" si="23"/>
        <v>-995.91047385192564</v>
      </c>
      <c r="S110" s="11">
        <f t="shared" si="24"/>
        <v>526.36464420221841</v>
      </c>
      <c r="T110" s="11">
        <f t="shared" si="26"/>
        <v>53206.368521366872</v>
      </c>
      <c r="U110" s="12"/>
      <c r="V110" s="10">
        <f t="shared" si="17"/>
        <v>-100000</v>
      </c>
      <c r="W110" s="13">
        <f t="shared" si="25"/>
        <v>299727.11278743972</v>
      </c>
      <c r="X110" s="10">
        <f>K110</f>
        <v>99660.795375235772</v>
      </c>
      <c r="Y110" s="10">
        <f t="shared" si="18"/>
        <v>100066.31741220393</v>
      </c>
    </row>
    <row r="111" spans="6:25" x14ac:dyDescent="0.25">
      <c r="F111" s="2">
        <f t="shared" si="27"/>
        <v>10</v>
      </c>
      <c r="G111" s="2">
        <f t="shared" si="28"/>
        <v>1</v>
      </c>
      <c r="H111" s="10">
        <f t="shared" si="21"/>
        <v>-887.35615656627056</v>
      </c>
      <c r="I111" s="11">
        <f t="shared" si="14"/>
        <v>-249.15198843808943</v>
      </c>
      <c r="J111" s="10">
        <f t="shared" si="15"/>
        <v>-638.2041681281811</v>
      </c>
      <c r="K111" s="10">
        <f t="shared" si="16"/>
        <v>99022.591207107587</v>
      </c>
      <c r="L111" s="11">
        <f>-($C$15/12+$C$17*$C$11/12+$C$18/12*(1+$C$19)^($F111-1)+$C$20*W111/12)-N111*$C$37</f>
        <v>-564.93324235459465</v>
      </c>
      <c r="M111" s="11">
        <f t="shared" si="19"/>
        <v>-1015.8286833289642</v>
      </c>
      <c r="N111" s="11">
        <f t="shared" si="20"/>
        <v>934.56238866264709</v>
      </c>
      <c r="O111" s="11">
        <f>H111+L111+M111+N111</f>
        <v>-1533.5556935871818</v>
      </c>
      <c r="P111" s="11"/>
      <c r="Q111" s="11">
        <f t="shared" si="22"/>
        <v>222723.95907376785</v>
      </c>
      <c r="R111" s="11">
        <f t="shared" si="23"/>
        <v>-1015.8286833289642</v>
      </c>
      <c r="S111" s="11">
        <f t="shared" si="24"/>
        <v>517.72701025821766</v>
      </c>
      <c r="T111" s="11">
        <f t="shared" si="26"/>
        <v>53724.095531625091</v>
      </c>
      <c r="U111" s="12"/>
      <c r="V111" s="10">
        <f t="shared" si="17"/>
        <v>-100000</v>
      </c>
      <c r="W111" s="13">
        <f t="shared" si="25"/>
        <v>307220.29060712567</v>
      </c>
      <c r="X111" s="10">
        <f>K111</f>
        <v>99022.591207107587</v>
      </c>
      <c r="Y111" s="10">
        <f t="shared" si="18"/>
        <v>108197.69940001809</v>
      </c>
    </row>
    <row r="112" spans="6:25" x14ac:dyDescent="0.25">
      <c r="F112" s="2">
        <f t="shared" si="27"/>
        <v>10</v>
      </c>
      <c r="G112" s="2">
        <f t="shared" si="28"/>
        <v>2</v>
      </c>
      <c r="H112" s="10">
        <f t="shared" si="21"/>
        <v>-887.35615656627056</v>
      </c>
      <c r="I112" s="11">
        <f t="shared" si="14"/>
        <v>-247.55647801776897</v>
      </c>
      <c r="J112" s="10">
        <f t="shared" si="15"/>
        <v>-639.79967854850156</v>
      </c>
      <c r="K112" s="10">
        <f t="shared" si="16"/>
        <v>98382.791528559086</v>
      </c>
      <c r="L112" s="11">
        <f>-($C$15/12+$C$17*$C$11/12+$C$18/12*(1+$C$19)^($F112-1)+$C$20*W112/12)-N112*$C$37</f>
        <v>-564.93324235459465</v>
      </c>
      <c r="M112" s="11">
        <f t="shared" si="19"/>
        <v>-1015.8286833289642</v>
      </c>
      <c r="N112" s="11">
        <f t="shared" si="20"/>
        <v>934.56238866264709</v>
      </c>
      <c r="O112" s="11">
        <f>H112+L112+M112+N112</f>
        <v>-1533.5556935871818</v>
      </c>
      <c r="P112" s="11"/>
      <c r="Q112" s="11">
        <f t="shared" si="22"/>
        <v>224149.09106287683</v>
      </c>
      <c r="R112" s="11">
        <f t="shared" si="23"/>
        <v>-1015.8286833289642</v>
      </c>
      <c r="S112" s="11">
        <f t="shared" si="24"/>
        <v>517.72701025821766</v>
      </c>
      <c r="T112" s="11">
        <f t="shared" si="26"/>
        <v>54241.82254188331</v>
      </c>
      <c r="U112" s="12"/>
      <c r="V112" s="10">
        <f t="shared" si="17"/>
        <v>-100000</v>
      </c>
      <c r="W112" s="13">
        <f t="shared" si="25"/>
        <v>307220.29060712567</v>
      </c>
      <c r="X112" s="10">
        <f>K112</f>
        <v>98382.791528559086</v>
      </c>
      <c r="Y112" s="10">
        <f t="shared" si="18"/>
        <v>108837.49907856659</v>
      </c>
    </row>
    <row r="113" spans="6:25" x14ac:dyDescent="0.25">
      <c r="F113" s="2">
        <f t="shared" si="27"/>
        <v>10</v>
      </c>
      <c r="G113" s="2">
        <f t="shared" si="28"/>
        <v>3</v>
      </c>
      <c r="H113" s="10">
        <f t="shared" si="21"/>
        <v>-887.35615656627056</v>
      </c>
      <c r="I113" s="11">
        <f t="shared" si="14"/>
        <v>-245.95697882139771</v>
      </c>
      <c r="J113" s="10">
        <f t="shared" si="15"/>
        <v>-641.39917774487287</v>
      </c>
      <c r="K113" s="10">
        <f t="shared" si="16"/>
        <v>97741.392350814218</v>
      </c>
      <c r="L113" s="11">
        <f>-($C$15/12+$C$17*$C$11/12+$C$18/12*(1+$C$19)^($F113-1)+$C$20*W113/12)-N113*$C$37</f>
        <v>-564.93324235459465</v>
      </c>
      <c r="M113" s="11">
        <f t="shared" si="19"/>
        <v>-1015.8286833289642</v>
      </c>
      <c r="N113" s="11">
        <f t="shared" si="20"/>
        <v>934.56238866264709</v>
      </c>
      <c r="O113" s="11">
        <f>H113+L113+M113+N113</f>
        <v>-1533.5556935871818</v>
      </c>
      <c r="P113" s="11"/>
      <c r="Q113" s="11">
        <f t="shared" si="22"/>
        <v>225580.02921611746</v>
      </c>
      <c r="R113" s="11">
        <f t="shared" si="23"/>
        <v>-1015.8286833289642</v>
      </c>
      <c r="S113" s="11">
        <f t="shared" si="24"/>
        <v>517.72701025821766</v>
      </c>
      <c r="T113" s="11">
        <f t="shared" si="26"/>
        <v>54759.549552141529</v>
      </c>
      <c r="U113" s="12"/>
      <c r="V113" s="10">
        <f t="shared" si="17"/>
        <v>-100000</v>
      </c>
      <c r="W113" s="13">
        <f t="shared" si="25"/>
        <v>307220.29060712567</v>
      </c>
      <c r="X113" s="10">
        <f>K113</f>
        <v>97741.392350814218</v>
      </c>
      <c r="Y113" s="10">
        <f t="shared" si="18"/>
        <v>109478.89825631146</v>
      </c>
    </row>
    <row r="114" spans="6:25" x14ac:dyDescent="0.25">
      <c r="F114" s="2">
        <f t="shared" si="27"/>
        <v>10</v>
      </c>
      <c r="G114" s="2">
        <f t="shared" si="28"/>
        <v>4</v>
      </c>
      <c r="H114" s="10">
        <f t="shared" si="21"/>
        <v>-887.35615656627056</v>
      </c>
      <c r="I114" s="11">
        <f t="shared" si="14"/>
        <v>-244.35348087703554</v>
      </c>
      <c r="J114" s="10">
        <f t="shared" si="15"/>
        <v>-643.00267568923505</v>
      </c>
      <c r="K114" s="10">
        <f t="shared" si="16"/>
        <v>97098.389675124985</v>
      </c>
      <c r="L114" s="11">
        <f>-($C$15/12+$C$17*$C$11/12+$C$18/12*(1+$C$19)^($F114-1)+$C$20*W114/12)-N114*$C$37</f>
        <v>-564.93324235459465</v>
      </c>
      <c r="M114" s="11">
        <f t="shared" si="19"/>
        <v>-1015.8286833289642</v>
      </c>
      <c r="N114" s="11">
        <f t="shared" si="20"/>
        <v>934.56238866264709</v>
      </c>
      <c r="O114" s="11">
        <f>H114+L114+M114+N114</f>
        <v>-1533.5556935871818</v>
      </c>
      <c r="P114" s="11"/>
      <c r="Q114" s="11">
        <f t="shared" si="22"/>
        <v>227016.79718852113</v>
      </c>
      <c r="R114" s="11">
        <f t="shared" si="23"/>
        <v>-1015.8286833289642</v>
      </c>
      <c r="S114" s="11">
        <f t="shared" si="24"/>
        <v>517.72701025821766</v>
      </c>
      <c r="T114" s="11">
        <f t="shared" si="26"/>
        <v>55277.276562399747</v>
      </c>
      <c r="U114" s="12"/>
      <c r="V114" s="10">
        <f t="shared" si="17"/>
        <v>-100000</v>
      </c>
      <c r="W114" s="13">
        <f t="shared" si="25"/>
        <v>307220.29060712567</v>
      </c>
      <c r="X114" s="10">
        <f>K114</f>
        <v>97098.389675124985</v>
      </c>
      <c r="Y114" s="10">
        <f t="shared" si="18"/>
        <v>110121.90093200069</v>
      </c>
    </row>
    <row r="115" spans="6:25" x14ac:dyDescent="0.25">
      <c r="F115" s="2">
        <f t="shared" si="27"/>
        <v>10</v>
      </c>
      <c r="G115" s="2">
        <f t="shared" si="28"/>
        <v>5</v>
      </c>
      <c r="H115" s="10">
        <f t="shared" si="21"/>
        <v>-887.35615656627056</v>
      </c>
      <c r="I115" s="11">
        <f t="shared" si="14"/>
        <v>-242.74597418781246</v>
      </c>
      <c r="J115" s="10">
        <f t="shared" si="15"/>
        <v>-644.61018237845815</v>
      </c>
      <c r="K115" s="10">
        <f t="shared" si="16"/>
        <v>96453.779492746529</v>
      </c>
      <c r="L115" s="11">
        <f>-($C$15/12+$C$17*$C$11/12+$C$18/12*(1+$C$19)^($F115-1)+$C$20*W115/12)-N115*$C$37</f>
        <v>-564.93324235459465</v>
      </c>
      <c r="M115" s="11">
        <f t="shared" si="19"/>
        <v>-1015.8286833289642</v>
      </c>
      <c r="N115" s="11">
        <f t="shared" si="20"/>
        <v>934.56238866264709</v>
      </c>
      <c r="O115" s="11">
        <f>H115+L115+M115+N115</f>
        <v>-1533.5556935871818</v>
      </c>
      <c r="P115" s="11"/>
      <c r="Q115" s="11">
        <f t="shared" si="22"/>
        <v>228459.41873149277</v>
      </c>
      <c r="R115" s="11">
        <f t="shared" si="23"/>
        <v>-1015.8286833289642</v>
      </c>
      <c r="S115" s="11">
        <f t="shared" si="24"/>
        <v>517.72701025821766</v>
      </c>
      <c r="T115" s="11">
        <f t="shared" si="26"/>
        <v>55795.003572657966</v>
      </c>
      <c r="U115" s="12"/>
      <c r="V115" s="10">
        <f t="shared" si="17"/>
        <v>-100000</v>
      </c>
      <c r="W115" s="13">
        <f t="shared" si="25"/>
        <v>307220.29060712567</v>
      </c>
      <c r="X115" s="10">
        <f>K115</f>
        <v>96453.779492746529</v>
      </c>
      <c r="Y115" s="10">
        <f t="shared" si="18"/>
        <v>110766.51111437916</v>
      </c>
    </row>
    <row r="116" spans="6:25" x14ac:dyDescent="0.25">
      <c r="F116" s="2">
        <f t="shared" si="27"/>
        <v>10</v>
      </c>
      <c r="G116" s="2">
        <f t="shared" si="28"/>
        <v>6</v>
      </c>
      <c r="H116" s="10">
        <f t="shared" si="21"/>
        <v>-887.35615656627056</v>
      </c>
      <c r="I116" s="11">
        <f t="shared" si="14"/>
        <v>-241.13444873186631</v>
      </c>
      <c r="J116" s="10">
        <f t="shared" si="15"/>
        <v>-646.22170783440424</v>
      </c>
      <c r="K116" s="10">
        <f t="shared" si="16"/>
        <v>95807.557784912118</v>
      </c>
      <c r="L116" s="11">
        <f>-($C$15/12+$C$17*$C$11/12+$C$18/12*(1+$C$19)^($F116-1)+$C$20*W116/12)-N116*$C$37</f>
        <v>-564.93324235459465</v>
      </c>
      <c r="M116" s="11">
        <f t="shared" si="19"/>
        <v>-1015.8286833289642</v>
      </c>
      <c r="N116" s="11">
        <f t="shared" si="20"/>
        <v>934.56238866264709</v>
      </c>
      <c r="O116" s="11">
        <f>H116+L116+M116+N116</f>
        <v>-1533.5556935871818</v>
      </c>
      <c r="P116" s="11"/>
      <c r="Q116" s="11">
        <f t="shared" si="22"/>
        <v>229907.91769320343</v>
      </c>
      <c r="R116" s="11">
        <f t="shared" si="23"/>
        <v>-1015.8286833289642</v>
      </c>
      <c r="S116" s="11">
        <f t="shared" si="24"/>
        <v>517.72701025821766</v>
      </c>
      <c r="T116" s="11">
        <f t="shared" si="26"/>
        <v>56312.730582916185</v>
      </c>
      <c r="U116" s="12"/>
      <c r="V116" s="10">
        <f t="shared" si="17"/>
        <v>-100000</v>
      </c>
      <c r="W116" s="13">
        <f t="shared" si="25"/>
        <v>307220.29060712567</v>
      </c>
      <c r="X116" s="10">
        <f>K116</f>
        <v>95807.557784912118</v>
      </c>
      <c r="Y116" s="10">
        <f t="shared" si="18"/>
        <v>111412.73282221355</v>
      </c>
    </row>
    <row r="117" spans="6:25" x14ac:dyDescent="0.25">
      <c r="F117" s="2">
        <f t="shared" si="27"/>
        <v>10</v>
      </c>
      <c r="G117" s="2">
        <f t="shared" si="28"/>
        <v>7</v>
      </c>
      <c r="H117" s="10">
        <f t="shared" si="21"/>
        <v>-887.35615656627056</v>
      </c>
      <c r="I117" s="11">
        <f t="shared" si="14"/>
        <v>-239.51889446228029</v>
      </c>
      <c r="J117" s="10">
        <f t="shared" si="15"/>
        <v>-647.83726210399027</v>
      </c>
      <c r="K117" s="10">
        <f t="shared" si="16"/>
        <v>95159.720522808129</v>
      </c>
      <c r="L117" s="11">
        <f>-($C$15/12+$C$17*$C$11/12+$C$18/12*(1+$C$19)^($F117-1)+$C$20*W117/12)-N117*$C$37</f>
        <v>-564.93324235459465</v>
      </c>
      <c r="M117" s="11">
        <f t="shared" si="19"/>
        <v>-1015.8286833289642</v>
      </c>
      <c r="N117" s="11">
        <f t="shared" si="20"/>
        <v>934.56238866264709</v>
      </c>
      <c r="O117" s="11">
        <f>H117+L117+M117+N117</f>
        <v>-1533.5556935871818</v>
      </c>
      <c r="P117" s="11"/>
      <c r="Q117" s="11">
        <f t="shared" si="22"/>
        <v>231362.3180189846</v>
      </c>
      <c r="R117" s="11">
        <f t="shared" si="23"/>
        <v>-1015.8286833289642</v>
      </c>
      <c r="S117" s="11">
        <f t="shared" si="24"/>
        <v>517.72701025821766</v>
      </c>
      <c r="T117" s="11">
        <f t="shared" si="26"/>
        <v>56830.457593174404</v>
      </c>
      <c r="U117" s="12"/>
      <c r="V117" s="10">
        <f t="shared" si="17"/>
        <v>-100000</v>
      </c>
      <c r="W117" s="13">
        <f t="shared" si="25"/>
        <v>307220.29060712567</v>
      </c>
      <c r="X117" s="10">
        <f>K117</f>
        <v>95159.720522808129</v>
      </c>
      <c r="Y117" s="10">
        <f t="shared" si="18"/>
        <v>112060.57008431753</v>
      </c>
    </row>
    <row r="118" spans="6:25" x14ac:dyDescent="0.25">
      <c r="F118" s="2">
        <f t="shared" si="27"/>
        <v>10</v>
      </c>
      <c r="G118" s="2">
        <f t="shared" si="28"/>
        <v>8</v>
      </c>
      <c r="H118" s="10">
        <f t="shared" si="21"/>
        <v>-887.35615656627056</v>
      </c>
      <c r="I118" s="11">
        <f t="shared" si="14"/>
        <v>-237.89930130702032</v>
      </c>
      <c r="J118" s="10">
        <f t="shared" si="15"/>
        <v>-649.45685525925023</v>
      </c>
      <c r="K118" s="10">
        <f t="shared" si="16"/>
        <v>94510.263667548876</v>
      </c>
      <c r="L118" s="11">
        <f>-($C$15/12+$C$17*$C$11/12+$C$18/12*(1+$C$19)^($F118-1)+$C$20*W118/12)-N118*$C$37</f>
        <v>-564.93324235459465</v>
      </c>
      <c r="M118" s="11">
        <f t="shared" si="19"/>
        <v>-1015.8286833289642</v>
      </c>
      <c r="N118" s="11">
        <f t="shared" si="20"/>
        <v>934.56238866264709</v>
      </c>
      <c r="O118" s="11">
        <f>H118+L118+M118+N118</f>
        <v>-1533.5556935871818</v>
      </c>
      <c r="P118" s="11"/>
      <c r="Q118" s="11">
        <f t="shared" si="22"/>
        <v>232822.64375172398</v>
      </c>
      <c r="R118" s="11">
        <f t="shared" si="23"/>
        <v>-1015.8286833289642</v>
      </c>
      <c r="S118" s="11">
        <f t="shared" si="24"/>
        <v>517.72701025821766</v>
      </c>
      <c r="T118" s="11">
        <f t="shared" si="26"/>
        <v>57348.184603432623</v>
      </c>
      <c r="U118" s="12"/>
      <c r="V118" s="10">
        <f t="shared" si="17"/>
        <v>-100000</v>
      </c>
      <c r="W118" s="13">
        <f t="shared" si="25"/>
        <v>307220.29060712567</v>
      </c>
      <c r="X118" s="10">
        <f>K118</f>
        <v>94510.263667548876</v>
      </c>
      <c r="Y118" s="10">
        <f t="shared" si="18"/>
        <v>112710.02693957678</v>
      </c>
    </row>
    <row r="119" spans="6:25" x14ac:dyDescent="0.25">
      <c r="F119" s="2">
        <f t="shared" si="27"/>
        <v>10</v>
      </c>
      <c r="G119" s="2">
        <f t="shared" si="28"/>
        <v>9</v>
      </c>
      <c r="H119" s="10">
        <f t="shared" si="21"/>
        <v>-887.35615656627056</v>
      </c>
      <c r="I119" s="11">
        <f t="shared" si="14"/>
        <v>-236.27565916887218</v>
      </c>
      <c r="J119" s="10">
        <f t="shared" si="15"/>
        <v>-651.0804973973984</v>
      </c>
      <c r="K119" s="10">
        <f t="shared" si="16"/>
        <v>93859.183170151475</v>
      </c>
      <c r="L119" s="11">
        <f>-($C$15/12+$C$17*$C$11/12+$C$18/12*(1+$C$19)^($F119-1)+$C$20*W119/12)-N119*$C$37</f>
        <v>-564.93324235459465</v>
      </c>
      <c r="M119" s="11">
        <f t="shared" si="19"/>
        <v>-1015.8286833289642</v>
      </c>
      <c r="N119" s="11">
        <f t="shared" si="20"/>
        <v>934.56238866264709</v>
      </c>
      <c r="O119" s="11">
        <f>H119+L119+M119+N119</f>
        <v>-1533.5556935871818</v>
      </c>
      <c r="P119" s="11"/>
      <c r="Q119" s="11">
        <f t="shared" si="22"/>
        <v>234288.91903226299</v>
      </c>
      <c r="R119" s="11">
        <f t="shared" si="23"/>
        <v>-1015.8286833289642</v>
      </c>
      <c r="S119" s="11">
        <f t="shared" si="24"/>
        <v>517.72701025821766</v>
      </c>
      <c r="T119" s="11">
        <f t="shared" si="26"/>
        <v>57865.911613690841</v>
      </c>
      <c r="U119" s="12"/>
      <c r="V119" s="10">
        <f t="shared" si="17"/>
        <v>-100000</v>
      </c>
      <c r="W119" s="13">
        <f t="shared" si="25"/>
        <v>307220.29060712567</v>
      </c>
      <c r="X119" s="10">
        <f>K119</f>
        <v>93859.183170151475</v>
      </c>
      <c r="Y119" s="10">
        <f t="shared" si="18"/>
        <v>113361.10743697418</v>
      </c>
    </row>
    <row r="120" spans="6:25" x14ac:dyDescent="0.25">
      <c r="F120" s="2">
        <f t="shared" si="27"/>
        <v>10</v>
      </c>
      <c r="G120" s="2">
        <f t="shared" si="28"/>
        <v>10</v>
      </c>
      <c r="H120" s="10">
        <f t="shared" si="21"/>
        <v>-887.35615656627056</v>
      </c>
      <c r="I120" s="11">
        <f t="shared" si="14"/>
        <v>-234.64795792537871</v>
      </c>
      <c r="J120" s="10">
        <f t="shared" si="15"/>
        <v>-652.70819864089185</v>
      </c>
      <c r="K120" s="10">
        <f t="shared" si="16"/>
        <v>93206.474971510586</v>
      </c>
      <c r="L120" s="11">
        <f>-($C$15/12+$C$17*$C$11/12+$C$18/12*(1+$C$19)^($F120-1)+$C$20*W120/12)-N120*$C$37</f>
        <v>-564.93324235459465</v>
      </c>
      <c r="M120" s="11">
        <f t="shared" si="19"/>
        <v>-1015.8286833289642</v>
      </c>
      <c r="N120" s="11">
        <f t="shared" si="20"/>
        <v>934.56238866264709</v>
      </c>
      <c r="O120" s="11">
        <f>H120+L120+M120+N120</f>
        <v>-1533.5556935871818</v>
      </c>
      <c r="P120" s="11"/>
      <c r="Q120" s="11">
        <f t="shared" si="22"/>
        <v>235761.16809979582</v>
      </c>
      <c r="R120" s="11">
        <f t="shared" si="23"/>
        <v>-1015.8286833289642</v>
      </c>
      <c r="S120" s="11">
        <f t="shared" si="24"/>
        <v>517.72701025821766</v>
      </c>
      <c r="T120" s="11">
        <f t="shared" si="26"/>
        <v>58383.63862394906</v>
      </c>
      <c r="U120" s="12"/>
      <c r="V120" s="10">
        <f t="shared" si="17"/>
        <v>-100000</v>
      </c>
      <c r="W120" s="13">
        <f t="shared" si="25"/>
        <v>307220.29060712567</v>
      </c>
      <c r="X120" s="10">
        <f>K120</f>
        <v>93206.474971510586</v>
      </c>
      <c r="Y120" s="10">
        <f t="shared" si="18"/>
        <v>114013.81563561509</v>
      </c>
    </row>
    <row r="121" spans="6:25" x14ac:dyDescent="0.25">
      <c r="F121" s="2">
        <f t="shared" si="27"/>
        <v>10</v>
      </c>
      <c r="G121" s="2">
        <f t="shared" si="28"/>
        <v>11</v>
      </c>
      <c r="H121" s="10">
        <f t="shared" si="21"/>
        <v>-887.35615656627056</v>
      </c>
      <c r="I121" s="11">
        <f t="shared" si="14"/>
        <v>-233.01618742877648</v>
      </c>
      <c r="J121" s="10">
        <f t="shared" si="15"/>
        <v>-654.33996913749411</v>
      </c>
      <c r="K121" s="10">
        <f t="shared" si="16"/>
        <v>92552.135002373092</v>
      </c>
      <c r="L121" s="11">
        <f>-($C$15/12+$C$17*$C$11/12+$C$18/12*(1+$C$19)^($F121-1)+$C$20*W121/12)-N121*$C$37</f>
        <v>-564.93324235459465</v>
      </c>
      <c r="M121" s="11">
        <f t="shared" si="19"/>
        <v>-1015.8286833289642</v>
      </c>
      <c r="N121" s="11">
        <f t="shared" si="20"/>
        <v>934.56238866264709</v>
      </c>
      <c r="O121" s="11">
        <f>H121+L121+M121+N121</f>
        <v>-1533.5556935871818</v>
      </c>
      <c r="P121" s="11"/>
      <c r="Q121" s="11">
        <f t="shared" si="22"/>
        <v>237239.41529227013</v>
      </c>
      <c r="R121" s="11">
        <f t="shared" si="23"/>
        <v>-1015.8286833289642</v>
      </c>
      <c r="S121" s="11">
        <f t="shared" si="24"/>
        <v>517.72701025821766</v>
      </c>
      <c r="T121" s="11">
        <f t="shared" si="26"/>
        <v>58901.365634207279</v>
      </c>
      <c r="U121" s="12"/>
      <c r="V121" s="10">
        <f t="shared" si="17"/>
        <v>-100000</v>
      </c>
      <c r="W121" s="13">
        <f t="shared" si="25"/>
        <v>307220.29060712567</v>
      </c>
      <c r="X121" s="10">
        <f>K121</f>
        <v>92552.135002373092</v>
      </c>
      <c r="Y121" s="10">
        <f t="shared" si="18"/>
        <v>114668.1556047526</v>
      </c>
    </row>
    <row r="122" spans="6:25" x14ac:dyDescent="0.25">
      <c r="F122" s="2">
        <f t="shared" si="27"/>
        <v>10</v>
      </c>
      <c r="G122" s="2">
        <f t="shared" si="28"/>
        <v>12</v>
      </c>
      <c r="H122" s="10">
        <f t="shared" si="21"/>
        <v>-887.35615656627056</v>
      </c>
      <c r="I122" s="11">
        <f t="shared" si="14"/>
        <v>-231.38033750593274</v>
      </c>
      <c r="J122" s="10">
        <f t="shared" si="15"/>
        <v>-655.97581906033781</v>
      </c>
      <c r="K122" s="10">
        <f t="shared" si="16"/>
        <v>91896.15918331276</v>
      </c>
      <c r="L122" s="11">
        <f>-($C$15/12+$C$17*$C$11/12+$C$18/12*(1+$C$19)^($F122-1)+$C$20*W122/12)-N122*$C$37</f>
        <v>-564.93324235459465</v>
      </c>
      <c r="M122" s="11">
        <f t="shared" si="19"/>
        <v>-1015.8286833289642</v>
      </c>
      <c r="N122" s="11">
        <f t="shared" si="20"/>
        <v>934.56238866264709</v>
      </c>
      <c r="O122" s="11">
        <f>H122+L122+M122+N122</f>
        <v>-1533.5556935871818</v>
      </c>
      <c r="P122" s="11"/>
      <c r="Q122" s="11">
        <f t="shared" si="22"/>
        <v>238723.68504678941</v>
      </c>
      <c r="R122" s="11">
        <f t="shared" si="23"/>
        <v>-1015.8286833289642</v>
      </c>
      <c r="S122" s="11">
        <f t="shared" si="24"/>
        <v>517.72701025821766</v>
      </c>
      <c r="T122" s="11">
        <f t="shared" si="26"/>
        <v>59419.092644465498</v>
      </c>
      <c r="U122" s="10">
        <f>(Q122-($Q$2+T122))*(1-$C$33)+$Q$2+T122</f>
        <v>218897.53694620845</v>
      </c>
      <c r="V122" s="10">
        <f t="shared" si="17"/>
        <v>118897.53694620845</v>
      </c>
      <c r="W122" s="13">
        <f t="shared" si="25"/>
        <v>307220.29060712567</v>
      </c>
      <c r="X122" s="10">
        <f>K122</f>
        <v>91896.15918331276</v>
      </c>
      <c r="Y122" s="10">
        <f t="shared" si="18"/>
        <v>334221.66837002139</v>
      </c>
    </row>
    <row r="123" spans="6:25" x14ac:dyDescent="0.25">
      <c r="F123" s="2"/>
      <c r="G123" s="2"/>
      <c r="H123" s="10"/>
      <c r="I123" s="11"/>
      <c r="J123" s="10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2"/>
      <c r="V123" s="10"/>
      <c r="W123" s="13"/>
      <c r="X123" s="10"/>
      <c r="Y123" s="10"/>
    </row>
    <row r="124" spans="6:25" x14ac:dyDescent="0.25">
      <c r="F124" s="2"/>
      <c r="G124" s="2"/>
      <c r="H124" s="10"/>
      <c r="I124" s="11"/>
      <c r="J124" s="10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2"/>
      <c r="V124" s="10"/>
      <c r="W124" s="13"/>
      <c r="X124" s="10"/>
      <c r="Y124" s="10"/>
    </row>
    <row r="125" spans="6:25" x14ac:dyDescent="0.25">
      <c r="F125" s="2"/>
      <c r="G125" t="s">
        <v>42</v>
      </c>
      <c r="H125" s="10"/>
      <c r="I125" s="11"/>
      <c r="J125" s="10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2"/>
      <c r="V125" s="10"/>
      <c r="W125" s="13"/>
      <c r="X125" s="10"/>
      <c r="Y125" s="10"/>
    </row>
    <row r="126" spans="6:25" x14ac:dyDescent="0.25">
      <c r="F126" s="2"/>
      <c r="G126" s="15">
        <f>NPV(4%,G129:G139)</f>
        <v>46037.819812576759</v>
      </c>
      <c r="H126" s="10">
        <v>-124495.90263716056</v>
      </c>
      <c r="I126" s="11"/>
      <c r="J126" s="10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2"/>
      <c r="V126" s="10"/>
      <c r="W126" s="13"/>
      <c r="X126" s="10"/>
      <c r="Y126" s="10"/>
    </row>
    <row r="127" spans="6:25" x14ac:dyDescent="0.25">
      <c r="F127" s="2"/>
      <c r="H127" s="10"/>
      <c r="I127" s="11"/>
      <c r="J127" s="10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2"/>
      <c r="V127" s="10"/>
      <c r="W127" s="13"/>
      <c r="X127" s="10"/>
      <c r="Y127" s="10"/>
    </row>
    <row r="128" spans="6:25" x14ac:dyDescent="0.25">
      <c r="F128" s="2" t="s">
        <v>0</v>
      </c>
      <c r="G128" s="2" t="s">
        <v>48</v>
      </c>
      <c r="H128" s="10"/>
      <c r="I128" s="11"/>
      <c r="J128" s="10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2"/>
      <c r="V128" s="10"/>
      <c r="W128" s="13"/>
      <c r="X128" s="10"/>
      <c r="Y128" s="10"/>
    </row>
    <row r="129" spans="6:25" x14ac:dyDescent="0.25">
      <c r="F129" s="2">
        <v>0</v>
      </c>
      <c r="G129" s="2">
        <f>SUMIFS($U$2:$U$122,$F$2:$F$122,F129)</f>
        <v>-100000</v>
      </c>
      <c r="H129" s="10"/>
      <c r="I129" s="11"/>
      <c r="J129" s="10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2"/>
      <c r="V129" s="10"/>
      <c r="W129" s="13"/>
      <c r="X129" s="10"/>
      <c r="Y129" s="10"/>
    </row>
    <row r="130" spans="6:25" x14ac:dyDescent="0.25">
      <c r="F130" s="2">
        <f>F129+1</f>
        <v>1</v>
      </c>
      <c r="G130" s="21">
        <f>SUMIFS($U$2:$U$122,$F$2:$F$122,F130)</f>
        <v>0</v>
      </c>
      <c r="H130" s="10"/>
      <c r="I130" s="11"/>
      <c r="J130" s="10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2"/>
      <c r="V130" s="10"/>
      <c r="W130" s="13"/>
      <c r="X130" s="10"/>
      <c r="Y130" s="10"/>
    </row>
    <row r="131" spans="6:25" x14ac:dyDescent="0.25">
      <c r="F131" s="2">
        <f t="shared" ref="F131:F139" si="29">F130+1</f>
        <v>2</v>
      </c>
      <c r="G131" s="21">
        <f>SUMIFS($U$2:$U$122,$F$2:$F$122,F131)</f>
        <v>0</v>
      </c>
      <c r="H131" s="10"/>
      <c r="I131" s="11"/>
      <c r="J131" s="10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2"/>
      <c r="V131" s="10"/>
      <c r="W131" s="13"/>
      <c r="X131" s="10"/>
      <c r="Y131" s="10"/>
    </row>
    <row r="132" spans="6:25" x14ac:dyDescent="0.25">
      <c r="F132" s="2">
        <f t="shared" si="29"/>
        <v>3</v>
      </c>
      <c r="G132" s="21">
        <f>SUMIFS($U$2:$U$122,$F$2:$F$122,F132)</f>
        <v>0</v>
      </c>
      <c r="H132" s="10"/>
      <c r="I132" s="11"/>
      <c r="J132" s="10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2"/>
      <c r="V132" s="10"/>
      <c r="W132" s="13"/>
      <c r="X132" s="10"/>
      <c r="Y132" s="10"/>
    </row>
    <row r="133" spans="6:25" x14ac:dyDescent="0.25">
      <c r="F133" s="2">
        <f t="shared" si="29"/>
        <v>4</v>
      </c>
      <c r="G133" s="21">
        <f>SUMIFS($U$2:$U$122,$F$2:$F$122,F133)</f>
        <v>0</v>
      </c>
    </row>
    <row r="134" spans="6:25" x14ac:dyDescent="0.25">
      <c r="F134" s="2">
        <f t="shared" si="29"/>
        <v>5</v>
      </c>
      <c r="G134" s="21">
        <f>SUMIFS($U$2:$U$122,$F$2:$F$122,F134)</f>
        <v>0</v>
      </c>
    </row>
    <row r="135" spans="6:25" x14ac:dyDescent="0.25">
      <c r="F135" s="2">
        <f t="shared" si="29"/>
        <v>6</v>
      </c>
      <c r="G135" s="21">
        <f>SUMIFS($U$2:$U$122,$F$2:$F$122,F135)</f>
        <v>0</v>
      </c>
    </row>
    <row r="136" spans="6:25" x14ac:dyDescent="0.25">
      <c r="F136" s="2">
        <f t="shared" si="29"/>
        <v>7</v>
      </c>
      <c r="G136" s="21">
        <f>SUMIFS($U$2:$U$122,$F$2:$F$122,F136)</f>
        <v>0</v>
      </c>
    </row>
    <row r="137" spans="6:25" x14ac:dyDescent="0.25">
      <c r="F137" s="2">
        <f t="shared" si="29"/>
        <v>8</v>
      </c>
      <c r="G137" s="21">
        <f>SUMIFS($U$2:$U$122,$F$2:$F$122,F137)</f>
        <v>0</v>
      </c>
    </row>
    <row r="138" spans="6:25" x14ac:dyDescent="0.25">
      <c r="F138" s="2">
        <f t="shared" si="29"/>
        <v>9</v>
      </c>
      <c r="G138" s="21">
        <f>SUMIFS($U$2:$U$122,$F$2:$F$122,F138)</f>
        <v>0</v>
      </c>
    </row>
    <row r="139" spans="6:25" x14ac:dyDescent="0.25">
      <c r="F139" s="2">
        <f t="shared" si="29"/>
        <v>10</v>
      </c>
      <c r="G139" s="21">
        <f>SUMIFS($U$2:$U$122,$F$2:$F$122,F139)</f>
        <v>218897.53694620845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A8BC-4017-485F-B2D5-F17E3AA59428}">
  <dimension ref="B1:AC139"/>
  <sheetViews>
    <sheetView tabSelected="1" topLeftCell="E1" workbookViewId="0">
      <pane ySplit="1" topLeftCell="A104" activePane="bottomLeft" state="frozen"/>
      <selection pane="bottomLeft" activeCell="Q122" sqref="Q122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7" max="17" width="10" bestFit="1" customWidth="1"/>
    <col min="18" max="18" width="12.85546875" customWidth="1"/>
    <col min="24" max="24" width="11.28515625" bestFit="1" customWidth="1"/>
  </cols>
  <sheetData>
    <row r="1" spans="2:29" x14ac:dyDescent="0.25">
      <c r="F1" t="s">
        <v>0</v>
      </c>
      <c r="G1" t="s">
        <v>17</v>
      </c>
      <c r="H1" t="s">
        <v>4</v>
      </c>
      <c r="I1" t="s">
        <v>5</v>
      </c>
      <c r="J1" t="s">
        <v>6</v>
      </c>
      <c r="K1" t="s">
        <v>33</v>
      </c>
      <c r="L1" t="s">
        <v>61</v>
      </c>
      <c r="M1" t="s">
        <v>44</v>
      </c>
      <c r="N1" t="s">
        <v>40</v>
      </c>
      <c r="O1" t="s">
        <v>54</v>
      </c>
      <c r="P1" t="s">
        <v>50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2:29" x14ac:dyDescent="0.25">
      <c r="F2">
        <v>0</v>
      </c>
      <c r="G2">
        <v>0</v>
      </c>
      <c r="K2" s="16">
        <f>$C$11</f>
        <v>160000</v>
      </c>
      <c r="Q2" s="16">
        <f>-$C$10</f>
        <v>-100000</v>
      </c>
      <c r="R2" s="17">
        <f>Q2</f>
        <v>-100000</v>
      </c>
    </row>
    <row r="3" spans="2:29" x14ac:dyDescent="0.25">
      <c r="F3" s="2">
        <v>1</v>
      </c>
      <c r="G3" s="2">
        <v>1</v>
      </c>
      <c r="H3" s="10">
        <f>-$C$14</f>
        <v>-887.35615656627056</v>
      </c>
      <c r="I3" s="11">
        <f>IF($G3=1,-K2*$D$12,I2)</f>
        <v>-400</v>
      </c>
      <c r="J3" s="10">
        <f>H3-I3</f>
        <v>-487.35615656627056</v>
      </c>
      <c r="K3" s="10">
        <f>K2+J3</f>
        <v>159512.64384343373</v>
      </c>
      <c r="L3" s="11">
        <f>-($C$15/12+$C$16/12+$C$17*$C$11/12+$C$18/12*(1+$C$19)^($F3-1)+$C$20*S3/12)</f>
        <v>-438.33333333333331</v>
      </c>
      <c r="M3" s="11"/>
      <c r="N3" s="11"/>
      <c r="O3" s="11">
        <f>$C$34*(1+$C$35)^($F3-1)</f>
        <v>850</v>
      </c>
      <c r="P3" s="11"/>
      <c r="Q3" s="12">
        <f>L3+H3+N3+O3+P3</f>
        <v>-475.68948989960381</v>
      </c>
      <c r="R3" s="10">
        <f>R2+Q3</f>
        <v>-100475.68948989961</v>
      </c>
      <c r="S3" s="13">
        <f>$C$4*(1+$C$21)^($F3)</f>
        <v>245999.99999999997</v>
      </c>
      <c r="T3" s="10">
        <f>K3</f>
        <v>159512.64384343373</v>
      </c>
      <c r="U3" s="10">
        <f>S3-T3+R3</f>
        <v>-13988.333333333372</v>
      </c>
      <c r="W3" s="2"/>
      <c r="X3" s="2"/>
      <c r="Y3" s="4"/>
      <c r="Z3" s="2"/>
      <c r="AA3" s="2"/>
      <c r="AB3" s="2"/>
      <c r="AC3" s="2"/>
    </row>
    <row r="4" spans="2:29" x14ac:dyDescent="0.25">
      <c r="B4" t="s">
        <v>9</v>
      </c>
      <c r="C4">
        <v>240000</v>
      </c>
      <c r="F4" s="2">
        <v>1</v>
      </c>
      <c r="G4" s="2">
        <v>2</v>
      </c>
      <c r="H4" s="10">
        <f t="shared" ref="H4:H66" si="0">-$C$14</f>
        <v>-887.35615656627056</v>
      </c>
      <c r="I4" s="11">
        <f>-K3*$D$12</f>
        <v>-398.78160960858435</v>
      </c>
      <c r="J4" s="10">
        <f>H4-I4</f>
        <v>-488.57454695768621</v>
      </c>
      <c r="K4" s="10">
        <f t="shared" ref="K4:K62" si="1">K3+J4</f>
        <v>159024.06929647605</v>
      </c>
      <c r="L4" s="11">
        <f t="shared" ref="L4:L62" si="2">-($C$15/12+$C$17*$C$11/12+$C$18/12*(1+$C$19)^($F4-1)+$C$20*S4/12)</f>
        <v>-438.33333333333331</v>
      </c>
      <c r="M4" s="11"/>
      <c r="N4" s="11"/>
      <c r="O4" s="11">
        <f t="shared" ref="O4:O64" si="3">$C$34*(1+$C$35)^($F4-1)</f>
        <v>850</v>
      </c>
      <c r="P4" s="11"/>
      <c r="Q4" s="12">
        <f t="shared" ref="Q4:Q67" si="4">L4+H4+N4+O4+P4</f>
        <v>-475.68948989960381</v>
      </c>
      <c r="R4" s="10">
        <f>R3+Q4</f>
        <v>-100951.37897979922</v>
      </c>
      <c r="S4" s="13">
        <f t="shared" ref="S4:S67" si="5">$C$4*(1+$C$21)^($F4)</f>
        <v>245999.99999999997</v>
      </c>
      <c r="T4" s="10">
        <f t="shared" ref="T4:T60" si="6">K4</f>
        <v>159024.06929647605</v>
      </c>
      <c r="U4" s="10">
        <f t="shared" ref="U4:U18" si="7">S4-T4+R4</f>
        <v>-13975.448276275303</v>
      </c>
      <c r="W4" s="2"/>
      <c r="X4" s="2"/>
      <c r="Y4" s="4"/>
      <c r="Z4" s="2"/>
      <c r="AA4" s="2"/>
      <c r="AB4" s="2"/>
      <c r="AC4" s="2"/>
    </row>
    <row r="5" spans="2:29" x14ac:dyDescent="0.25">
      <c r="B5" t="s">
        <v>10</v>
      </c>
      <c r="C5" s="7">
        <v>7.4999999999999997E-2</v>
      </c>
      <c r="F5" s="2">
        <v>1</v>
      </c>
      <c r="G5" s="2">
        <v>3</v>
      </c>
      <c r="H5" s="10">
        <f t="shared" si="0"/>
        <v>-887.35615656627056</v>
      </c>
      <c r="I5" s="11">
        <f>-K4*$D$12</f>
        <v>-397.56017324119011</v>
      </c>
      <c r="J5" s="10">
        <f t="shared" ref="J5:J62" si="8">H5-I5</f>
        <v>-489.79598332508044</v>
      </c>
      <c r="K5" s="10">
        <f t="shared" si="1"/>
        <v>158534.27331315097</v>
      </c>
      <c r="L5" s="11">
        <f t="shared" si="2"/>
        <v>-438.33333333333331</v>
      </c>
      <c r="M5" s="11"/>
      <c r="N5" s="11"/>
      <c r="O5" s="11">
        <f t="shared" si="3"/>
        <v>850</v>
      </c>
      <c r="P5" s="11"/>
      <c r="Q5" s="12">
        <f t="shared" si="4"/>
        <v>-475.68948989960381</v>
      </c>
      <c r="R5" s="10">
        <f>R4+Q5</f>
        <v>-101427.06846969883</v>
      </c>
      <c r="S5" s="13">
        <f t="shared" si="5"/>
        <v>245999.99999999997</v>
      </c>
      <c r="T5" s="10">
        <f t="shared" si="6"/>
        <v>158534.27331315097</v>
      </c>
      <c r="U5" s="10">
        <f t="shared" si="7"/>
        <v>-13961.341782849835</v>
      </c>
      <c r="W5" s="2"/>
      <c r="X5" s="2"/>
      <c r="Y5" s="4"/>
      <c r="Z5" s="2"/>
      <c r="AA5" s="2"/>
      <c r="AB5" s="2"/>
      <c r="AC5" s="2"/>
    </row>
    <row r="6" spans="2:29" x14ac:dyDescent="0.25">
      <c r="B6" t="s">
        <v>11</v>
      </c>
      <c r="C6" s="7">
        <v>0</v>
      </c>
      <c r="F6" s="2">
        <v>1</v>
      </c>
      <c r="G6" s="2">
        <v>4</v>
      </c>
      <c r="H6" s="10">
        <f t="shared" si="0"/>
        <v>-887.35615656627056</v>
      </c>
      <c r="I6" s="11">
        <f t="shared" ref="I6:I62" si="9">-K5*$D$12</f>
        <v>-396.33568328287743</v>
      </c>
      <c r="J6" s="10">
        <f t="shared" si="8"/>
        <v>-491.02047328339313</v>
      </c>
      <c r="K6" s="10">
        <f t="shared" si="1"/>
        <v>158043.25283986758</v>
      </c>
      <c r="L6" s="11">
        <f t="shared" si="2"/>
        <v>-438.33333333333331</v>
      </c>
      <c r="M6" s="11"/>
      <c r="N6" s="11"/>
      <c r="O6" s="11">
        <f t="shared" si="3"/>
        <v>850</v>
      </c>
      <c r="P6" s="11"/>
      <c r="Q6" s="12">
        <f t="shared" si="4"/>
        <v>-475.68948989960381</v>
      </c>
      <c r="R6" s="10">
        <f t="shared" ref="R6:R61" si="10">R5+Q6</f>
        <v>-101902.75795959844</v>
      </c>
      <c r="S6" s="13">
        <f t="shared" si="5"/>
        <v>245999.99999999997</v>
      </c>
      <c r="T6" s="10">
        <f t="shared" si="6"/>
        <v>158043.25283986758</v>
      </c>
      <c r="U6" s="10">
        <f t="shared" si="7"/>
        <v>-13946.01079946605</v>
      </c>
      <c r="W6" s="2"/>
      <c r="X6" s="2"/>
      <c r="Y6" s="4"/>
      <c r="Z6" s="2"/>
      <c r="AA6" s="2"/>
      <c r="AB6" s="2"/>
      <c r="AC6" s="2"/>
    </row>
    <row r="7" spans="2:29" x14ac:dyDescent="0.25">
      <c r="B7" t="s">
        <v>12</v>
      </c>
      <c r="C7">
        <v>2000</v>
      </c>
      <c r="F7" s="2">
        <v>1</v>
      </c>
      <c r="G7" s="2">
        <v>5</v>
      </c>
      <c r="H7" s="10">
        <f t="shared" si="0"/>
        <v>-887.35615656627056</v>
      </c>
      <c r="I7" s="11">
        <f t="shared" si="9"/>
        <v>-395.10813209966898</v>
      </c>
      <c r="J7" s="10">
        <f t="shared" si="8"/>
        <v>-492.24802446660158</v>
      </c>
      <c r="K7" s="10">
        <f t="shared" si="1"/>
        <v>157551.00481540099</v>
      </c>
      <c r="L7" s="11">
        <f t="shared" si="2"/>
        <v>-438.33333333333331</v>
      </c>
      <c r="M7" s="11"/>
      <c r="N7" s="11"/>
      <c r="O7" s="11">
        <f t="shared" si="3"/>
        <v>850</v>
      </c>
      <c r="P7" s="11"/>
      <c r="Q7" s="12">
        <f t="shared" si="4"/>
        <v>-475.68948989960381</v>
      </c>
      <c r="R7" s="10">
        <f t="shared" si="10"/>
        <v>-102378.44744949805</v>
      </c>
      <c r="S7" s="13">
        <f t="shared" si="5"/>
        <v>245999.99999999997</v>
      </c>
      <c r="T7" s="10">
        <f t="shared" si="6"/>
        <v>157551.00481540099</v>
      </c>
      <c r="U7" s="10">
        <f t="shared" si="7"/>
        <v>-13929.452264899068</v>
      </c>
      <c r="W7" s="2"/>
      <c r="X7" s="2"/>
      <c r="Y7" s="4"/>
      <c r="Z7" s="2"/>
      <c r="AA7" s="2"/>
      <c r="AB7" s="2"/>
      <c r="AC7" s="2"/>
    </row>
    <row r="8" spans="2:29" x14ac:dyDescent="0.25">
      <c r="B8" t="s">
        <v>13</v>
      </c>
      <c r="C8">
        <v>0</v>
      </c>
      <c r="F8" s="2">
        <v>1</v>
      </c>
      <c r="G8" s="2">
        <v>6</v>
      </c>
      <c r="H8" s="10">
        <f t="shared" si="0"/>
        <v>-887.35615656627056</v>
      </c>
      <c r="I8" s="11">
        <f t="shared" si="9"/>
        <v>-393.87751203850246</v>
      </c>
      <c r="J8" s="10">
        <f t="shared" si="8"/>
        <v>-493.4786445277681</v>
      </c>
      <c r="K8" s="10">
        <f t="shared" si="1"/>
        <v>157057.52617087323</v>
      </c>
      <c r="L8" s="11">
        <f t="shared" si="2"/>
        <v>-438.33333333333331</v>
      </c>
      <c r="M8" s="11"/>
      <c r="N8" s="11"/>
      <c r="O8" s="11">
        <f t="shared" si="3"/>
        <v>850</v>
      </c>
      <c r="P8" s="11"/>
      <c r="Q8" s="12">
        <f t="shared" si="4"/>
        <v>-475.68948989960381</v>
      </c>
      <c r="R8" s="10">
        <f t="shared" si="10"/>
        <v>-102854.13693939766</v>
      </c>
      <c r="S8" s="13">
        <f t="shared" si="5"/>
        <v>245999.99999999997</v>
      </c>
      <c r="T8" s="10">
        <f t="shared" si="6"/>
        <v>157057.52617087323</v>
      </c>
      <c r="U8" s="10">
        <f t="shared" si="7"/>
        <v>-13911.663110270922</v>
      </c>
      <c r="W8" s="2"/>
      <c r="X8" s="2"/>
      <c r="Y8" s="4"/>
      <c r="Z8" s="2"/>
      <c r="AA8" s="2"/>
      <c r="AB8" s="2"/>
      <c r="AC8" s="2"/>
    </row>
    <row r="9" spans="2:29" x14ac:dyDescent="0.25">
      <c r="B9" t="s">
        <v>14</v>
      </c>
      <c r="C9">
        <f>C4+(C5+C6)*C4+C7+C8</f>
        <v>260000</v>
      </c>
      <c r="F9" s="2">
        <v>1</v>
      </c>
      <c r="G9" s="2">
        <v>7</v>
      </c>
      <c r="H9" s="10">
        <f t="shared" si="0"/>
        <v>-887.35615656627056</v>
      </c>
      <c r="I9" s="11">
        <f t="shared" si="9"/>
        <v>-392.64381542718309</v>
      </c>
      <c r="J9" s="10">
        <f t="shared" si="8"/>
        <v>-494.71234113908747</v>
      </c>
      <c r="K9" s="10">
        <f t="shared" si="1"/>
        <v>156562.81382973414</v>
      </c>
      <c r="L9" s="11">
        <f t="shared" si="2"/>
        <v>-438.33333333333331</v>
      </c>
      <c r="M9" s="11"/>
      <c r="N9" s="11"/>
      <c r="O9" s="11">
        <f t="shared" si="3"/>
        <v>850</v>
      </c>
      <c r="P9" s="11"/>
      <c r="Q9" s="12">
        <f t="shared" si="4"/>
        <v>-475.68948989960381</v>
      </c>
      <c r="R9" s="10">
        <f t="shared" si="10"/>
        <v>-103329.82642929727</v>
      </c>
      <c r="S9" s="13">
        <f t="shared" si="5"/>
        <v>245999.99999999997</v>
      </c>
      <c r="T9" s="10">
        <f t="shared" si="6"/>
        <v>156562.81382973414</v>
      </c>
      <c r="U9" s="10">
        <f t="shared" si="7"/>
        <v>-13892.640259031439</v>
      </c>
      <c r="W9" s="2"/>
      <c r="X9" s="2"/>
      <c r="Y9" s="4"/>
      <c r="Z9" s="2"/>
      <c r="AA9" s="2"/>
      <c r="AB9" s="2"/>
      <c r="AC9" s="2"/>
    </row>
    <row r="10" spans="2:29" x14ac:dyDescent="0.25">
      <c r="B10" t="s">
        <v>15</v>
      </c>
      <c r="C10">
        <v>100000</v>
      </c>
      <c r="F10" s="2">
        <v>1</v>
      </c>
      <c r="G10" s="2">
        <v>8</v>
      </c>
      <c r="H10" s="10">
        <f t="shared" si="0"/>
        <v>-887.35615656627056</v>
      </c>
      <c r="I10" s="11">
        <f t="shared" si="9"/>
        <v>-391.40703457433534</v>
      </c>
      <c r="J10" s="10">
        <f t="shared" si="8"/>
        <v>-495.94912199193521</v>
      </c>
      <c r="K10" s="10">
        <f t="shared" si="1"/>
        <v>156066.86470774221</v>
      </c>
      <c r="L10" s="11">
        <f t="shared" si="2"/>
        <v>-438.33333333333331</v>
      </c>
      <c r="M10" s="11"/>
      <c r="N10" s="11"/>
      <c r="O10" s="11">
        <f t="shared" si="3"/>
        <v>850</v>
      </c>
      <c r="P10" s="11"/>
      <c r="Q10" s="12">
        <f t="shared" si="4"/>
        <v>-475.68948989960381</v>
      </c>
      <c r="R10" s="10">
        <f t="shared" si="10"/>
        <v>-103805.51591919689</v>
      </c>
      <c r="S10" s="13">
        <f t="shared" si="5"/>
        <v>245999.99999999997</v>
      </c>
      <c r="T10" s="10">
        <f t="shared" si="6"/>
        <v>156066.86470774221</v>
      </c>
      <c r="U10" s="10">
        <f t="shared" si="7"/>
        <v>-13872.380626939121</v>
      </c>
      <c r="W10" s="2"/>
      <c r="X10" s="2"/>
      <c r="Y10" s="4"/>
      <c r="Z10" s="2"/>
      <c r="AA10" s="2"/>
      <c r="AB10" s="2"/>
      <c r="AC10" s="2"/>
    </row>
    <row r="11" spans="2:29" x14ac:dyDescent="0.25">
      <c r="B11" t="s">
        <v>16</v>
      </c>
      <c r="C11">
        <f>C9-C10</f>
        <v>160000</v>
      </c>
      <c r="F11" s="2">
        <v>1</v>
      </c>
      <c r="G11" s="2">
        <v>9</v>
      </c>
      <c r="H11" s="10">
        <f t="shared" si="0"/>
        <v>-887.35615656627056</v>
      </c>
      <c r="I11" s="11">
        <f t="shared" si="9"/>
        <v>-390.16716176935552</v>
      </c>
      <c r="J11" s="10">
        <f t="shared" si="8"/>
        <v>-497.18899479691504</v>
      </c>
      <c r="K11" s="10">
        <f t="shared" si="1"/>
        <v>155569.67571294529</v>
      </c>
      <c r="L11" s="11">
        <f t="shared" si="2"/>
        <v>-438.33333333333331</v>
      </c>
      <c r="M11" s="11"/>
      <c r="N11" s="11"/>
      <c r="O11" s="11">
        <f t="shared" si="3"/>
        <v>850</v>
      </c>
      <c r="P11" s="11"/>
      <c r="Q11" s="12">
        <f t="shared" si="4"/>
        <v>-475.68948989960381</v>
      </c>
      <c r="R11" s="10">
        <f t="shared" si="10"/>
        <v>-104281.2054090965</v>
      </c>
      <c r="S11" s="13">
        <f t="shared" si="5"/>
        <v>245999.99999999997</v>
      </c>
      <c r="T11" s="10">
        <f t="shared" si="6"/>
        <v>155569.67571294529</v>
      </c>
      <c r="U11" s="10">
        <f t="shared" si="7"/>
        <v>-13850.881122041814</v>
      </c>
      <c r="W11" s="2"/>
      <c r="X11" s="2"/>
      <c r="Y11" s="4"/>
      <c r="Z11" s="2"/>
      <c r="AA11" s="2"/>
      <c r="AB11" s="2"/>
      <c r="AC11" s="2"/>
    </row>
    <row r="12" spans="2:29" x14ac:dyDescent="0.25">
      <c r="B12" t="s">
        <v>7</v>
      </c>
      <c r="C12" s="7">
        <v>0.03</v>
      </c>
      <c r="D12" s="9">
        <f>C12/12</f>
        <v>2.5000000000000001E-3</v>
      </c>
      <c r="E12" s="9"/>
      <c r="F12" s="2">
        <v>1</v>
      </c>
      <c r="G12" s="2">
        <v>10</v>
      </c>
      <c r="H12" s="10">
        <f t="shared" si="0"/>
        <v>-887.35615656627056</v>
      </c>
      <c r="I12" s="11">
        <f t="shared" si="9"/>
        <v>-388.92418928236322</v>
      </c>
      <c r="J12" s="10">
        <f t="shared" si="8"/>
        <v>-498.43196728390734</v>
      </c>
      <c r="K12" s="10">
        <f t="shared" si="1"/>
        <v>155071.24374566137</v>
      </c>
      <c r="L12" s="11">
        <f t="shared" si="2"/>
        <v>-438.33333333333331</v>
      </c>
      <c r="M12" s="11"/>
      <c r="N12" s="11"/>
      <c r="O12" s="11">
        <f t="shared" si="3"/>
        <v>850</v>
      </c>
      <c r="P12" s="11"/>
      <c r="Q12" s="12">
        <f t="shared" si="4"/>
        <v>-475.68948989960381</v>
      </c>
      <c r="R12" s="10">
        <f t="shared" si="10"/>
        <v>-104756.89489899611</v>
      </c>
      <c r="S12" s="13">
        <f t="shared" si="5"/>
        <v>245999.99999999997</v>
      </c>
      <c r="T12" s="10">
        <f t="shared" si="6"/>
        <v>155071.24374566137</v>
      </c>
      <c r="U12" s="10">
        <f t="shared" si="7"/>
        <v>-13828.138644657505</v>
      </c>
      <c r="W12" s="2"/>
      <c r="X12" s="2"/>
      <c r="Y12" s="4"/>
      <c r="Z12" s="2"/>
      <c r="AA12" s="2"/>
      <c r="AB12" s="2"/>
      <c r="AC12" s="2"/>
    </row>
    <row r="13" spans="2:29" x14ac:dyDescent="0.25">
      <c r="B13" t="s">
        <v>8</v>
      </c>
      <c r="C13">
        <v>20</v>
      </c>
      <c r="D13" s="8">
        <f>C13*12</f>
        <v>240</v>
      </c>
      <c r="E13" s="8"/>
      <c r="F13" s="2">
        <v>1</v>
      </c>
      <c r="G13" s="2">
        <v>11</v>
      </c>
      <c r="H13" s="10">
        <f t="shared" si="0"/>
        <v>-887.35615656627056</v>
      </c>
      <c r="I13" s="11">
        <f t="shared" si="9"/>
        <v>-387.67810936415344</v>
      </c>
      <c r="J13" s="10">
        <f t="shared" si="8"/>
        <v>-499.67804720211711</v>
      </c>
      <c r="K13" s="10">
        <f t="shared" si="1"/>
        <v>154571.56569845925</v>
      </c>
      <c r="L13" s="11">
        <f t="shared" si="2"/>
        <v>-438.33333333333331</v>
      </c>
      <c r="M13" s="11"/>
      <c r="N13" s="11"/>
      <c r="O13" s="11">
        <f t="shared" si="3"/>
        <v>850</v>
      </c>
      <c r="P13" s="11"/>
      <c r="Q13" s="12">
        <f t="shared" si="4"/>
        <v>-475.68948989960381</v>
      </c>
      <c r="R13" s="10">
        <f t="shared" si="10"/>
        <v>-105232.58438889572</v>
      </c>
      <c r="S13" s="13">
        <f t="shared" si="5"/>
        <v>245999.99999999997</v>
      </c>
      <c r="T13" s="10">
        <f t="shared" si="6"/>
        <v>154571.56569845925</v>
      </c>
      <c r="U13" s="10">
        <f t="shared" si="7"/>
        <v>-13804.150087354996</v>
      </c>
      <c r="W13" s="2"/>
      <c r="X13" s="2"/>
      <c r="Y13" s="4"/>
      <c r="Z13" s="2"/>
      <c r="AA13" s="2"/>
      <c r="AB13" s="2"/>
      <c r="AC13" s="2"/>
    </row>
    <row r="14" spans="2:29" x14ac:dyDescent="0.25">
      <c r="B14" t="s">
        <v>32</v>
      </c>
      <c r="C14" s="3">
        <f>C11*(D12*(1+D12)^D13)/((1+D12)^D13-1)</f>
        <v>887.35615656627056</v>
      </c>
      <c r="F14" s="2">
        <v>1</v>
      </c>
      <c r="G14" s="2">
        <v>12</v>
      </c>
      <c r="H14" s="10">
        <f t="shared" si="0"/>
        <v>-887.35615656627056</v>
      </c>
      <c r="I14" s="11">
        <f t="shared" si="9"/>
        <v>-386.42891424614811</v>
      </c>
      <c r="J14" s="10">
        <f t="shared" si="8"/>
        <v>-500.92724232012245</v>
      </c>
      <c r="K14" s="10">
        <f t="shared" si="1"/>
        <v>154070.63845613913</v>
      </c>
      <c r="L14" s="11">
        <f t="shared" si="2"/>
        <v>-438.33333333333331</v>
      </c>
      <c r="M14" s="11"/>
      <c r="N14" s="11"/>
      <c r="O14" s="11">
        <f t="shared" si="3"/>
        <v>850</v>
      </c>
      <c r="P14" s="11"/>
      <c r="Q14" s="12">
        <f t="shared" si="4"/>
        <v>-475.68948989960381</v>
      </c>
      <c r="R14" s="10">
        <f t="shared" si="10"/>
        <v>-105708.27387879533</v>
      </c>
      <c r="S14" s="13">
        <f t="shared" si="5"/>
        <v>245999.99999999997</v>
      </c>
      <c r="T14" s="10">
        <f t="shared" si="6"/>
        <v>154070.63845613913</v>
      </c>
      <c r="U14" s="10">
        <f t="shared" si="7"/>
        <v>-13778.912334934488</v>
      </c>
      <c r="W14" s="2"/>
      <c r="X14" s="2"/>
      <c r="Y14" s="4"/>
      <c r="Z14" s="2"/>
      <c r="AA14" s="2"/>
      <c r="AB14" s="2"/>
      <c r="AC14" s="2"/>
    </row>
    <row r="15" spans="2:29" x14ac:dyDescent="0.25">
      <c r="B15" t="s">
        <v>23</v>
      </c>
      <c r="C15" s="2">
        <v>1200</v>
      </c>
      <c r="F15" s="2">
        <f>F3+1</f>
        <v>2</v>
      </c>
      <c r="G15" s="2">
        <f>G3</f>
        <v>1</v>
      </c>
      <c r="H15" s="10">
        <f t="shared" si="0"/>
        <v>-887.35615656627056</v>
      </c>
      <c r="I15" s="11">
        <f t="shared" si="9"/>
        <v>-385.17659614034784</v>
      </c>
      <c r="J15" s="10">
        <f t="shared" si="8"/>
        <v>-502.17956042592272</v>
      </c>
      <c r="K15" s="10">
        <f t="shared" si="1"/>
        <v>153568.45889571321</v>
      </c>
      <c r="L15" s="11">
        <f t="shared" si="2"/>
        <v>-445.45833333333331</v>
      </c>
      <c r="M15" s="11"/>
      <c r="N15" s="11"/>
      <c r="O15" s="11">
        <f t="shared" si="3"/>
        <v>867</v>
      </c>
      <c r="P15" s="11"/>
      <c r="Q15" s="12">
        <f t="shared" si="4"/>
        <v>-465.81448989960381</v>
      </c>
      <c r="R15" s="10">
        <f t="shared" si="10"/>
        <v>-106174.08836869494</v>
      </c>
      <c r="S15" s="13">
        <f t="shared" si="5"/>
        <v>252149.99999999997</v>
      </c>
      <c r="T15" s="10">
        <f t="shared" si="6"/>
        <v>153568.45889571321</v>
      </c>
      <c r="U15" s="10">
        <f t="shared" si="7"/>
        <v>-7592.5472644081747</v>
      </c>
      <c r="W15" s="2"/>
      <c r="X15" s="2"/>
      <c r="Y15" s="4"/>
      <c r="Z15" s="2"/>
      <c r="AA15" s="2"/>
      <c r="AB15" s="2"/>
      <c r="AC15" s="2"/>
    </row>
    <row r="16" spans="2:29" x14ac:dyDescent="0.25">
      <c r="B16" t="s">
        <v>24</v>
      </c>
      <c r="C16" s="2">
        <v>0</v>
      </c>
      <c r="F16" s="2">
        <f>F4+1</f>
        <v>2</v>
      </c>
      <c r="G16" s="2">
        <f>G4</f>
        <v>2</v>
      </c>
      <c r="H16" s="10">
        <f t="shared" si="0"/>
        <v>-887.35615656627056</v>
      </c>
      <c r="I16" s="11">
        <f t="shared" si="9"/>
        <v>-383.92114723928302</v>
      </c>
      <c r="J16" s="10">
        <f t="shared" si="8"/>
        <v>-503.43500932698754</v>
      </c>
      <c r="K16" s="10">
        <f t="shared" si="1"/>
        <v>153065.02388638622</v>
      </c>
      <c r="L16" s="11">
        <f t="shared" si="2"/>
        <v>-445.45833333333331</v>
      </c>
      <c r="M16" s="11"/>
      <c r="N16" s="11"/>
      <c r="O16" s="11">
        <f t="shared" si="3"/>
        <v>867</v>
      </c>
      <c r="P16" s="11"/>
      <c r="Q16" s="12">
        <f t="shared" si="4"/>
        <v>-465.81448989960381</v>
      </c>
      <c r="R16" s="10">
        <f t="shared" si="10"/>
        <v>-106639.90285859455</v>
      </c>
      <c r="S16" s="13">
        <f t="shared" si="5"/>
        <v>252149.99999999997</v>
      </c>
      <c r="T16" s="10">
        <f t="shared" si="6"/>
        <v>153065.02388638622</v>
      </c>
      <c r="U16" s="10">
        <f t="shared" si="7"/>
        <v>-7554.9267449807958</v>
      </c>
      <c r="W16" s="2"/>
      <c r="X16" s="2"/>
      <c r="Y16" s="4"/>
      <c r="Z16" s="2"/>
      <c r="AA16" s="2"/>
      <c r="AB16" s="2"/>
      <c r="AC16" s="2"/>
    </row>
    <row r="17" spans="2:29" x14ac:dyDescent="0.25">
      <c r="B17" t="s">
        <v>25</v>
      </c>
      <c r="C17" s="7">
        <v>2.5000000000000001E-3</v>
      </c>
      <c r="F17" s="2">
        <f t="shared" ref="F17:F80" si="11">F5+1</f>
        <v>2</v>
      </c>
      <c r="G17" s="2">
        <f t="shared" ref="G17:G80" si="12">G5</f>
        <v>3</v>
      </c>
      <c r="H17" s="10">
        <f t="shared" si="0"/>
        <v>-887.35615656627056</v>
      </c>
      <c r="I17" s="11">
        <f t="shared" si="9"/>
        <v>-382.66255971596553</v>
      </c>
      <c r="J17" s="10">
        <f t="shared" si="8"/>
        <v>-504.69359685030503</v>
      </c>
      <c r="K17" s="10">
        <f t="shared" si="1"/>
        <v>152560.33028953592</v>
      </c>
      <c r="L17" s="11">
        <f t="shared" si="2"/>
        <v>-445.45833333333331</v>
      </c>
      <c r="M17" s="11"/>
      <c r="N17" s="11"/>
      <c r="O17" s="11">
        <f t="shared" si="3"/>
        <v>867</v>
      </c>
      <c r="P17" s="11"/>
      <c r="Q17" s="12">
        <f t="shared" si="4"/>
        <v>-465.81448989960381</v>
      </c>
      <c r="R17" s="10">
        <f t="shared" si="10"/>
        <v>-107105.71734849416</v>
      </c>
      <c r="S17" s="13">
        <f t="shared" si="5"/>
        <v>252149.99999999997</v>
      </c>
      <c r="T17" s="10">
        <f t="shared" si="6"/>
        <v>152560.33028953592</v>
      </c>
      <c r="U17" s="10">
        <f t="shared" si="7"/>
        <v>-7516.0476380301116</v>
      </c>
      <c r="W17" s="2"/>
      <c r="X17" s="2"/>
      <c r="Y17" s="4"/>
      <c r="Z17" s="2"/>
      <c r="AA17" s="2"/>
      <c r="AB17" s="2"/>
      <c r="AC17" s="2"/>
    </row>
    <row r="18" spans="2:29" x14ac:dyDescent="0.25">
      <c r="B18" t="s">
        <v>26</v>
      </c>
      <c r="C18">
        <v>1200</v>
      </c>
      <c r="F18" s="2">
        <f t="shared" si="11"/>
        <v>2</v>
      </c>
      <c r="G18" s="2">
        <f t="shared" si="12"/>
        <v>4</v>
      </c>
      <c r="H18" s="10">
        <f t="shared" si="0"/>
        <v>-887.35615656627056</v>
      </c>
      <c r="I18" s="11">
        <f t="shared" si="9"/>
        <v>-381.40082572383983</v>
      </c>
      <c r="J18" s="10">
        <f t="shared" si="8"/>
        <v>-505.95533084243073</v>
      </c>
      <c r="K18" s="10">
        <f t="shared" si="1"/>
        <v>152054.37495869349</v>
      </c>
      <c r="L18" s="11">
        <f t="shared" si="2"/>
        <v>-445.45833333333331</v>
      </c>
      <c r="M18" s="11"/>
      <c r="N18" s="11"/>
      <c r="O18" s="11">
        <f t="shared" si="3"/>
        <v>867</v>
      </c>
      <c r="P18" s="11"/>
      <c r="Q18" s="12">
        <f t="shared" si="4"/>
        <v>-465.81448989960381</v>
      </c>
      <c r="R18" s="10">
        <f t="shared" si="10"/>
        <v>-107571.53183839377</v>
      </c>
      <c r="S18" s="13">
        <f t="shared" si="5"/>
        <v>252149.99999999997</v>
      </c>
      <c r="T18" s="10">
        <f t="shared" si="6"/>
        <v>152054.37495869349</v>
      </c>
      <c r="U18" s="10">
        <f t="shared" si="7"/>
        <v>-7475.9067970872857</v>
      </c>
      <c r="W18" s="2"/>
      <c r="X18" s="2"/>
      <c r="Y18" s="4"/>
      <c r="Z18" s="2"/>
      <c r="AA18" s="2"/>
      <c r="AB18" s="2"/>
      <c r="AC18" s="2"/>
    </row>
    <row r="19" spans="2:29" x14ac:dyDescent="0.25">
      <c r="B19" t="s">
        <v>27</v>
      </c>
      <c r="C19" s="1">
        <v>0.02</v>
      </c>
      <c r="F19" s="2">
        <f t="shared" si="11"/>
        <v>2</v>
      </c>
      <c r="G19" s="2">
        <f t="shared" si="12"/>
        <v>5</v>
      </c>
      <c r="H19" s="10">
        <f t="shared" si="0"/>
        <v>-887.35615656627056</v>
      </c>
      <c r="I19" s="11">
        <f t="shared" si="9"/>
        <v>-380.13593739673371</v>
      </c>
      <c r="J19" s="10">
        <f t="shared" si="8"/>
        <v>-507.22021916953685</v>
      </c>
      <c r="K19" s="10">
        <f t="shared" si="1"/>
        <v>151547.15473952395</v>
      </c>
      <c r="L19" s="11">
        <f t="shared" si="2"/>
        <v>-445.45833333333331</v>
      </c>
      <c r="M19" s="11"/>
      <c r="N19" s="11"/>
      <c r="O19" s="11">
        <f t="shared" si="3"/>
        <v>867</v>
      </c>
      <c r="P19" s="11"/>
      <c r="Q19" s="12">
        <f t="shared" si="4"/>
        <v>-465.81448989960381</v>
      </c>
      <c r="R19" s="10">
        <f t="shared" si="10"/>
        <v>-108037.34632829338</v>
      </c>
      <c r="S19" s="13">
        <f t="shared" si="5"/>
        <v>252149.99999999997</v>
      </c>
      <c r="T19" s="10">
        <f t="shared" si="6"/>
        <v>151547.15473952395</v>
      </c>
      <c r="U19" s="10">
        <f>S19-T19+R19</f>
        <v>-7434.5010678173567</v>
      </c>
      <c r="W19" s="2"/>
      <c r="X19" s="2"/>
      <c r="Y19" s="4"/>
      <c r="Z19" s="2"/>
      <c r="AA19" s="2"/>
      <c r="AB19" s="2"/>
      <c r="AC19" s="2"/>
    </row>
    <row r="20" spans="2:29" x14ac:dyDescent="0.25">
      <c r="B20" t="s">
        <v>28</v>
      </c>
      <c r="C20" s="1">
        <v>0.01</v>
      </c>
      <c r="F20" s="2">
        <f t="shared" si="11"/>
        <v>2</v>
      </c>
      <c r="G20" s="2">
        <f t="shared" si="12"/>
        <v>6</v>
      </c>
      <c r="H20" s="10">
        <f t="shared" si="0"/>
        <v>-887.35615656627056</v>
      </c>
      <c r="I20" s="11">
        <f t="shared" si="9"/>
        <v>-378.86788684880986</v>
      </c>
      <c r="J20" s="10">
        <f t="shared" si="8"/>
        <v>-508.4882697174607</v>
      </c>
      <c r="K20" s="10">
        <f t="shared" si="1"/>
        <v>151038.66646980649</v>
      </c>
      <c r="L20" s="11">
        <f t="shared" si="2"/>
        <v>-445.45833333333331</v>
      </c>
      <c r="M20" s="11"/>
      <c r="N20" s="11"/>
      <c r="O20" s="11">
        <f t="shared" si="3"/>
        <v>867</v>
      </c>
      <c r="P20" s="11"/>
      <c r="Q20" s="12">
        <f t="shared" si="4"/>
        <v>-465.81448989960381</v>
      </c>
      <c r="R20" s="10">
        <f t="shared" si="10"/>
        <v>-108503.16081819299</v>
      </c>
      <c r="S20" s="13">
        <f t="shared" si="5"/>
        <v>252149.99999999997</v>
      </c>
      <c r="T20" s="10">
        <f t="shared" si="6"/>
        <v>151038.66646980649</v>
      </c>
      <c r="U20" s="10">
        <f t="shared" ref="U20:U62" si="13">S20-T20+R20</f>
        <v>-7391.8272879995056</v>
      </c>
    </row>
    <row r="21" spans="2:29" x14ac:dyDescent="0.25">
      <c r="B21" t="s">
        <v>29</v>
      </c>
      <c r="C21" s="22">
        <v>2.5000000000000001E-2</v>
      </c>
      <c r="D21" s="9">
        <f>(1+C21)^(1/12)-1</f>
        <v>2.0598362698427408E-3</v>
      </c>
      <c r="F21" s="2">
        <f t="shared" si="11"/>
        <v>2</v>
      </c>
      <c r="G21" s="2">
        <f t="shared" si="12"/>
        <v>7</v>
      </c>
      <c r="H21" s="10">
        <f t="shared" si="0"/>
        <v>-887.35615656627056</v>
      </c>
      <c r="I21" s="11">
        <f t="shared" si="9"/>
        <v>-377.5966661745162</v>
      </c>
      <c r="J21" s="10">
        <f t="shared" si="8"/>
        <v>-509.75949039175435</v>
      </c>
      <c r="K21" s="10">
        <f t="shared" si="1"/>
        <v>150528.90697941472</v>
      </c>
      <c r="L21" s="11">
        <f t="shared" si="2"/>
        <v>-445.45833333333331</v>
      </c>
      <c r="M21" s="11"/>
      <c r="N21" s="11"/>
      <c r="O21" s="11">
        <f t="shared" si="3"/>
        <v>867</v>
      </c>
      <c r="P21" s="11"/>
      <c r="Q21" s="12">
        <f t="shared" si="4"/>
        <v>-465.81448989960381</v>
      </c>
      <c r="R21" s="10">
        <f t="shared" si="10"/>
        <v>-108968.9753080926</v>
      </c>
      <c r="S21" s="13">
        <f t="shared" si="5"/>
        <v>252149.99999999997</v>
      </c>
      <c r="T21" s="10">
        <f t="shared" si="6"/>
        <v>150528.90697941472</v>
      </c>
      <c r="U21" s="10">
        <f t="shared" si="13"/>
        <v>-7347.8822875073529</v>
      </c>
    </row>
    <row r="22" spans="2:29" x14ac:dyDescent="0.25">
      <c r="B22" t="s">
        <v>30</v>
      </c>
      <c r="C22" s="1">
        <v>0.05</v>
      </c>
      <c r="F22" s="2">
        <f t="shared" si="11"/>
        <v>2</v>
      </c>
      <c r="G22" s="2">
        <f t="shared" si="12"/>
        <v>8</v>
      </c>
      <c r="H22" s="10">
        <f t="shared" si="0"/>
        <v>-887.35615656627056</v>
      </c>
      <c r="I22" s="11">
        <f t="shared" si="9"/>
        <v>-376.32226744853682</v>
      </c>
      <c r="J22" s="10">
        <f t="shared" si="8"/>
        <v>-511.03388911773374</v>
      </c>
      <c r="K22" s="10">
        <f t="shared" si="1"/>
        <v>150017.87309029698</v>
      </c>
      <c r="L22" s="11">
        <f t="shared" si="2"/>
        <v>-445.45833333333331</v>
      </c>
      <c r="M22" s="11"/>
      <c r="N22" s="11"/>
      <c r="O22" s="11">
        <f t="shared" si="3"/>
        <v>867</v>
      </c>
      <c r="P22" s="11"/>
      <c r="Q22" s="12">
        <f t="shared" si="4"/>
        <v>-465.81448989960381</v>
      </c>
      <c r="R22" s="10">
        <f t="shared" si="10"/>
        <v>-109434.78979799221</v>
      </c>
      <c r="S22" s="13">
        <f t="shared" si="5"/>
        <v>252149.99999999997</v>
      </c>
      <c r="T22" s="10">
        <f t="shared" si="6"/>
        <v>150017.87309029698</v>
      </c>
      <c r="U22" s="10">
        <f t="shared" si="13"/>
        <v>-7302.6628882892255</v>
      </c>
    </row>
    <row r="23" spans="2:29" x14ac:dyDescent="0.25">
      <c r="F23" s="2">
        <f t="shared" si="11"/>
        <v>2</v>
      </c>
      <c r="G23" s="2">
        <f t="shared" si="12"/>
        <v>9</v>
      </c>
      <c r="H23" s="10">
        <f t="shared" si="0"/>
        <v>-887.35615656627056</v>
      </c>
      <c r="I23" s="11">
        <f t="shared" si="9"/>
        <v>-375.04468272574246</v>
      </c>
      <c r="J23" s="10">
        <f t="shared" si="8"/>
        <v>-512.31147384052815</v>
      </c>
      <c r="K23" s="10">
        <f t="shared" si="1"/>
        <v>149505.56161645646</v>
      </c>
      <c r="L23" s="11">
        <f t="shared" si="2"/>
        <v>-445.45833333333331</v>
      </c>
      <c r="M23" s="11"/>
      <c r="N23" s="11"/>
      <c r="O23" s="11">
        <f t="shared" si="3"/>
        <v>867</v>
      </c>
      <c r="P23" s="11"/>
      <c r="Q23" s="12">
        <f t="shared" si="4"/>
        <v>-465.81448989960381</v>
      </c>
      <c r="R23" s="10">
        <f t="shared" si="10"/>
        <v>-109900.60428789182</v>
      </c>
      <c r="S23" s="13">
        <f t="shared" si="5"/>
        <v>252149.99999999997</v>
      </c>
      <c r="T23" s="10">
        <f t="shared" si="6"/>
        <v>149505.56161645646</v>
      </c>
      <c r="U23" s="10">
        <f t="shared" si="13"/>
        <v>-7256.1659043483087</v>
      </c>
      <c r="W23" s="2"/>
      <c r="X23" s="2"/>
      <c r="Y23" s="4"/>
      <c r="Z23" s="2"/>
      <c r="AA23" s="2"/>
      <c r="AB23" s="2"/>
      <c r="AC23" s="2"/>
    </row>
    <row r="24" spans="2:29" x14ac:dyDescent="0.25">
      <c r="F24" s="2">
        <f t="shared" si="11"/>
        <v>2</v>
      </c>
      <c r="G24" s="2">
        <f t="shared" si="12"/>
        <v>10</v>
      </c>
      <c r="H24" s="10">
        <f t="shared" si="0"/>
        <v>-887.35615656627056</v>
      </c>
      <c r="I24" s="11">
        <f t="shared" si="9"/>
        <v>-373.76390404114113</v>
      </c>
      <c r="J24" s="10">
        <f t="shared" si="8"/>
        <v>-513.59225252512942</v>
      </c>
      <c r="K24" s="10">
        <f t="shared" si="1"/>
        <v>148991.96936393133</v>
      </c>
      <c r="L24" s="11">
        <f t="shared" si="2"/>
        <v>-445.45833333333331</v>
      </c>
      <c r="M24" s="11"/>
      <c r="N24" s="11"/>
      <c r="O24" s="11">
        <f t="shared" si="3"/>
        <v>867</v>
      </c>
      <c r="P24" s="11"/>
      <c r="Q24" s="12">
        <f t="shared" si="4"/>
        <v>-465.81448989960381</v>
      </c>
      <c r="R24" s="10">
        <f t="shared" si="10"/>
        <v>-110366.41877779143</v>
      </c>
      <c r="S24" s="13">
        <f t="shared" si="5"/>
        <v>252149.99999999997</v>
      </c>
      <c r="T24" s="10">
        <f t="shared" si="6"/>
        <v>148991.96936393133</v>
      </c>
      <c r="U24" s="10">
        <f t="shared" si="13"/>
        <v>-7208.3881417227967</v>
      </c>
      <c r="W24" s="2"/>
      <c r="X24" s="2"/>
      <c r="Y24" s="12"/>
      <c r="Z24" s="10"/>
      <c r="AA24" s="2"/>
      <c r="AB24" s="2"/>
      <c r="AC24" s="10"/>
    </row>
    <row r="25" spans="2:29" x14ac:dyDescent="0.25">
      <c r="B25" t="s">
        <v>35</v>
      </c>
      <c r="C25">
        <v>5</v>
      </c>
      <c r="F25" s="2">
        <f t="shared" si="11"/>
        <v>2</v>
      </c>
      <c r="G25" s="2">
        <f t="shared" si="12"/>
        <v>11</v>
      </c>
      <c r="H25" s="10">
        <f t="shared" si="0"/>
        <v>-887.35615656627056</v>
      </c>
      <c r="I25" s="11">
        <f t="shared" si="9"/>
        <v>-372.47992340982836</v>
      </c>
      <c r="J25" s="10">
        <f t="shared" si="8"/>
        <v>-514.87623315644214</v>
      </c>
      <c r="K25" s="10">
        <f t="shared" si="1"/>
        <v>148477.09313077488</v>
      </c>
      <c r="L25" s="11">
        <f t="shared" si="2"/>
        <v>-445.45833333333331</v>
      </c>
      <c r="M25" s="11"/>
      <c r="N25" s="11"/>
      <c r="O25" s="11">
        <f t="shared" si="3"/>
        <v>867</v>
      </c>
      <c r="P25" s="11"/>
      <c r="Q25" s="12">
        <f t="shared" si="4"/>
        <v>-465.81448989960381</v>
      </c>
      <c r="R25" s="10">
        <f t="shared" si="10"/>
        <v>-110832.23326769104</v>
      </c>
      <c r="S25" s="13">
        <f t="shared" si="5"/>
        <v>252149.99999999997</v>
      </c>
      <c r="T25" s="10">
        <f t="shared" si="6"/>
        <v>148477.09313077488</v>
      </c>
      <c r="U25" s="10">
        <f t="shared" si="13"/>
        <v>-7159.326398465957</v>
      </c>
      <c r="Y25" s="4"/>
      <c r="Z25" s="2"/>
    </row>
    <row r="26" spans="2:29" x14ac:dyDescent="0.25">
      <c r="B26" t="s">
        <v>36</v>
      </c>
      <c r="C26">
        <v>10</v>
      </c>
      <c r="F26" s="2">
        <f t="shared" si="11"/>
        <v>2</v>
      </c>
      <c r="G26" s="2">
        <f t="shared" si="12"/>
        <v>12</v>
      </c>
      <c r="H26" s="10">
        <f t="shared" si="0"/>
        <v>-887.35615656627056</v>
      </c>
      <c r="I26" s="11">
        <f t="shared" si="9"/>
        <v>-371.19273282693723</v>
      </c>
      <c r="J26" s="10">
        <f t="shared" si="8"/>
        <v>-516.16342373933333</v>
      </c>
      <c r="K26" s="10">
        <f t="shared" si="1"/>
        <v>147960.92970703554</v>
      </c>
      <c r="L26" s="11">
        <f t="shared" si="2"/>
        <v>-445.45833333333331</v>
      </c>
      <c r="M26" s="11"/>
      <c r="N26" s="11"/>
      <c r="O26" s="11">
        <f t="shared" si="3"/>
        <v>867</v>
      </c>
      <c r="P26" s="11"/>
      <c r="Q26" s="12">
        <f t="shared" si="4"/>
        <v>-465.81448989960381</v>
      </c>
      <c r="R26" s="10">
        <f t="shared" si="10"/>
        <v>-111298.04775759066</v>
      </c>
      <c r="S26" s="13">
        <f t="shared" si="5"/>
        <v>252149.99999999997</v>
      </c>
      <c r="T26" s="10">
        <f t="shared" si="6"/>
        <v>147960.92970703554</v>
      </c>
      <c r="U26" s="10">
        <f t="shared" si="13"/>
        <v>-7108.9774646262231</v>
      </c>
    </row>
    <row r="27" spans="2:29" x14ac:dyDescent="0.25">
      <c r="F27" s="2">
        <f t="shared" si="11"/>
        <v>3</v>
      </c>
      <c r="G27" s="2">
        <f t="shared" si="12"/>
        <v>1</v>
      </c>
      <c r="H27" s="10">
        <f t="shared" si="0"/>
        <v>-887.35615656627056</v>
      </c>
      <c r="I27" s="11">
        <f t="shared" si="9"/>
        <v>-369.90232426758888</v>
      </c>
      <c r="J27" s="10">
        <f t="shared" si="8"/>
        <v>-517.45383229868162</v>
      </c>
      <c r="K27" s="10">
        <f t="shared" si="1"/>
        <v>147443.47587473685</v>
      </c>
      <c r="L27" s="11">
        <f t="shared" si="2"/>
        <v>-452.75145833333329</v>
      </c>
      <c r="M27" s="11"/>
      <c r="N27" s="11"/>
      <c r="O27" s="11">
        <f t="shared" si="3"/>
        <v>884.34</v>
      </c>
      <c r="P27" s="11"/>
      <c r="Q27" s="12">
        <f t="shared" si="4"/>
        <v>-455.76761489960393</v>
      </c>
      <c r="R27" s="10">
        <f t="shared" si="10"/>
        <v>-111753.81537249027</v>
      </c>
      <c r="S27" s="13">
        <f t="shared" si="5"/>
        <v>258453.74999999997</v>
      </c>
      <c r="T27" s="10">
        <f t="shared" si="6"/>
        <v>147443.47587473685</v>
      </c>
      <c r="U27" s="10">
        <f t="shared" si="13"/>
        <v>-743.54124722714187</v>
      </c>
    </row>
    <row r="28" spans="2:29" x14ac:dyDescent="0.25">
      <c r="F28" s="2">
        <f t="shared" si="11"/>
        <v>3</v>
      </c>
      <c r="G28" s="2">
        <f t="shared" si="12"/>
        <v>2</v>
      </c>
      <c r="H28" s="10">
        <f t="shared" si="0"/>
        <v>-887.35615656627056</v>
      </c>
      <c r="I28" s="11">
        <f t="shared" si="9"/>
        <v>-368.60868968684213</v>
      </c>
      <c r="J28" s="10">
        <f t="shared" si="8"/>
        <v>-518.74746687942843</v>
      </c>
      <c r="K28" s="10">
        <f t="shared" si="1"/>
        <v>146924.72840785742</v>
      </c>
      <c r="L28" s="11">
        <f t="shared" si="2"/>
        <v>-452.75145833333329</v>
      </c>
      <c r="M28" s="11"/>
      <c r="N28" s="11"/>
      <c r="O28" s="11">
        <f t="shared" si="3"/>
        <v>884.34</v>
      </c>
      <c r="P28" s="11"/>
      <c r="Q28" s="12">
        <f>L28+H28+N28+O28+P28</f>
        <v>-455.76761489960393</v>
      </c>
      <c r="R28" s="10">
        <f t="shared" si="10"/>
        <v>-112209.58298738988</v>
      </c>
      <c r="S28" s="13">
        <f t="shared" si="5"/>
        <v>258453.74999999997</v>
      </c>
      <c r="T28" s="10">
        <f t="shared" si="6"/>
        <v>146924.72840785742</v>
      </c>
      <c r="U28" s="10">
        <f t="shared" si="13"/>
        <v>-680.56139524732134</v>
      </c>
    </row>
    <row r="29" spans="2:29" x14ac:dyDescent="0.25">
      <c r="B29" t="s">
        <v>37</v>
      </c>
      <c r="C29" s="3">
        <f>-6*$D$12*K122</f>
        <v>-1378.4423877496913</v>
      </c>
      <c r="F29" s="2">
        <f t="shared" si="11"/>
        <v>3</v>
      </c>
      <c r="G29" s="2">
        <f t="shared" si="12"/>
        <v>3</v>
      </c>
      <c r="H29" s="10">
        <f t="shared" si="0"/>
        <v>-887.35615656627056</v>
      </c>
      <c r="I29" s="11">
        <f t="shared" si="9"/>
        <v>-367.31182101964356</v>
      </c>
      <c r="J29" s="10">
        <f t="shared" si="8"/>
        <v>-520.04433554662705</v>
      </c>
      <c r="K29" s="10">
        <f t="shared" si="1"/>
        <v>146404.68407231077</v>
      </c>
      <c r="L29" s="11">
        <f t="shared" si="2"/>
        <v>-452.75145833333329</v>
      </c>
      <c r="M29" s="11"/>
      <c r="N29" s="11"/>
      <c r="O29" s="11">
        <f t="shared" si="3"/>
        <v>884.34</v>
      </c>
      <c r="P29" s="11"/>
      <c r="Q29" s="12">
        <f t="shared" si="4"/>
        <v>-455.76761489960393</v>
      </c>
      <c r="R29" s="10">
        <f t="shared" si="10"/>
        <v>-112665.35060228949</v>
      </c>
      <c r="S29" s="13">
        <f t="shared" si="5"/>
        <v>258453.74999999997</v>
      </c>
      <c r="T29" s="10">
        <f t="shared" si="6"/>
        <v>146404.68407231077</v>
      </c>
      <c r="U29" s="10">
        <f t="shared" si="13"/>
        <v>-616.2846746002906</v>
      </c>
    </row>
    <row r="30" spans="2:29" x14ac:dyDescent="0.25">
      <c r="B30" t="s">
        <v>34</v>
      </c>
      <c r="C30" s="24">
        <f>S122-$C$22*S122-K122+C29</f>
        <v>198584.67450570693</v>
      </c>
      <c r="F30" s="2">
        <f t="shared" si="11"/>
        <v>3</v>
      </c>
      <c r="G30" s="2">
        <f t="shared" si="12"/>
        <v>4</v>
      </c>
      <c r="H30" s="10">
        <f t="shared" si="0"/>
        <v>-887.35615656627056</v>
      </c>
      <c r="I30" s="11">
        <f t="shared" si="9"/>
        <v>-366.01171018077696</v>
      </c>
      <c r="J30" s="10">
        <f t="shared" si="8"/>
        <v>-521.3444463854936</v>
      </c>
      <c r="K30" s="10">
        <f t="shared" si="1"/>
        <v>145883.33962592529</v>
      </c>
      <c r="L30" s="11">
        <f t="shared" si="2"/>
        <v>-452.75145833333329</v>
      </c>
      <c r="M30" s="11"/>
      <c r="N30" s="11"/>
      <c r="O30" s="11">
        <f t="shared" si="3"/>
        <v>884.34</v>
      </c>
      <c r="P30" s="11"/>
      <c r="Q30" s="12">
        <f t="shared" si="4"/>
        <v>-455.76761489960393</v>
      </c>
      <c r="R30" s="10">
        <f t="shared" si="10"/>
        <v>-113121.1182171891</v>
      </c>
      <c r="S30" s="13">
        <f t="shared" si="5"/>
        <v>258453.74999999997</v>
      </c>
      <c r="T30" s="10">
        <f t="shared" si="6"/>
        <v>145883.33962592529</v>
      </c>
      <c r="U30" s="10">
        <f t="shared" si="13"/>
        <v>-550.70784311441821</v>
      </c>
    </row>
    <row r="31" spans="2:29" x14ac:dyDescent="0.25">
      <c r="F31" s="2">
        <f t="shared" si="11"/>
        <v>3</v>
      </c>
      <c r="G31" s="2">
        <f t="shared" si="12"/>
        <v>5</v>
      </c>
      <c r="H31" s="10">
        <f t="shared" si="0"/>
        <v>-887.35615656627056</v>
      </c>
      <c r="I31" s="11">
        <f t="shared" si="9"/>
        <v>-364.70834906481326</v>
      </c>
      <c r="J31" s="10">
        <f t="shared" si="8"/>
        <v>-522.64780750145724</v>
      </c>
      <c r="K31" s="10">
        <f t="shared" si="1"/>
        <v>145360.69181842383</v>
      </c>
      <c r="L31" s="11">
        <f t="shared" si="2"/>
        <v>-452.75145833333329</v>
      </c>
      <c r="M31" s="11"/>
      <c r="N31" s="11"/>
      <c r="O31" s="11">
        <f t="shared" si="3"/>
        <v>884.34</v>
      </c>
      <c r="P31" s="11"/>
      <c r="Q31" s="12">
        <f t="shared" si="4"/>
        <v>-455.76761489960393</v>
      </c>
      <c r="R31" s="10">
        <f t="shared" si="10"/>
        <v>-113576.88583208871</v>
      </c>
      <c r="S31" s="13">
        <f t="shared" si="5"/>
        <v>258453.74999999997</v>
      </c>
      <c r="T31" s="10">
        <f t="shared" si="6"/>
        <v>145360.69181842383</v>
      </c>
      <c r="U31" s="10">
        <f t="shared" si="13"/>
        <v>-483.82765051256865</v>
      </c>
    </row>
    <row r="32" spans="2:29" x14ac:dyDescent="0.25">
      <c r="B32" t="s">
        <v>38</v>
      </c>
      <c r="C32" s="1">
        <v>0.05</v>
      </c>
      <c r="D32" s="19">
        <f>(1+C32)^(1/12)-1</f>
        <v>4.0741237836483535E-3</v>
      </c>
      <c r="F32" s="2">
        <f t="shared" si="11"/>
        <v>3</v>
      </c>
      <c r="G32" s="2">
        <f t="shared" si="12"/>
        <v>6</v>
      </c>
      <c r="H32" s="10">
        <f t="shared" si="0"/>
        <v>-887.35615656627056</v>
      </c>
      <c r="I32" s="11">
        <f t="shared" si="9"/>
        <v>-363.40172954605958</v>
      </c>
      <c r="J32" s="10">
        <f t="shared" si="8"/>
        <v>-523.95442702021091</v>
      </c>
      <c r="K32" s="10">
        <f t="shared" si="1"/>
        <v>144836.73739140361</v>
      </c>
      <c r="L32" s="11">
        <f t="shared" si="2"/>
        <v>-452.75145833333329</v>
      </c>
      <c r="M32" s="11"/>
      <c r="N32" s="11"/>
      <c r="O32" s="11">
        <f t="shared" si="3"/>
        <v>884.34</v>
      </c>
      <c r="P32" s="11"/>
      <c r="Q32" s="12">
        <f t="shared" si="4"/>
        <v>-455.76761489960393</v>
      </c>
      <c r="R32" s="10">
        <f t="shared" si="10"/>
        <v>-114032.65344698832</v>
      </c>
      <c r="S32" s="13">
        <f t="shared" si="5"/>
        <v>258453.74999999997</v>
      </c>
      <c r="T32" s="10">
        <f t="shared" si="6"/>
        <v>144836.73739140361</v>
      </c>
      <c r="U32" s="10">
        <f t="shared" si="13"/>
        <v>-415.64083839196246</v>
      </c>
    </row>
    <row r="33" spans="2:21" x14ac:dyDescent="0.25">
      <c r="B33" t="s">
        <v>47</v>
      </c>
      <c r="C33" s="1">
        <v>0.25</v>
      </c>
      <c r="F33" s="2">
        <f t="shared" si="11"/>
        <v>3</v>
      </c>
      <c r="G33" s="2">
        <f t="shared" si="12"/>
        <v>7</v>
      </c>
      <c r="H33" s="10">
        <f t="shared" si="0"/>
        <v>-887.35615656627056</v>
      </c>
      <c r="I33" s="11">
        <f t="shared" si="9"/>
        <v>-362.09184347850902</v>
      </c>
      <c r="J33" s="10">
        <f t="shared" si="8"/>
        <v>-525.26431308776159</v>
      </c>
      <c r="K33" s="10">
        <f t="shared" si="1"/>
        <v>144311.47307831584</v>
      </c>
      <c r="L33" s="11">
        <f t="shared" si="2"/>
        <v>-452.75145833333329</v>
      </c>
      <c r="M33" s="11"/>
      <c r="N33" s="11"/>
      <c r="O33" s="11">
        <f t="shared" si="3"/>
        <v>884.34</v>
      </c>
      <c r="P33" s="11"/>
      <c r="Q33" s="12">
        <f t="shared" si="4"/>
        <v>-455.76761489960393</v>
      </c>
      <c r="R33" s="10">
        <f t="shared" si="10"/>
        <v>-114488.42106188793</v>
      </c>
      <c r="S33" s="13">
        <f t="shared" si="5"/>
        <v>258453.74999999997</v>
      </c>
      <c r="T33" s="10">
        <f t="shared" si="6"/>
        <v>144311.47307831584</v>
      </c>
      <c r="U33" s="10">
        <f t="shared" si="13"/>
        <v>-346.14414020380354</v>
      </c>
    </row>
    <row r="34" spans="2:21" x14ac:dyDescent="0.25">
      <c r="B34" t="s">
        <v>45</v>
      </c>
      <c r="C34">
        <v>850</v>
      </c>
      <c r="F34" s="2">
        <f t="shared" si="11"/>
        <v>3</v>
      </c>
      <c r="G34" s="2">
        <f t="shared" si="12"/>
        <v>8</v>
      </c>
      <c r="H34" s="10">
        <f t="shared" si="0"/>
        <v>-887.35615656627056</v>
      </c>
      <c r="I34" s="11">
        <f t="shared" si="9"/>
        <v>-360.7786826957896</v>
      </c>
      <c r="J34" s="10">
        <f t="shared" si="8"/>
        <v>-526.57747387048096</v>
      </c>
      <c r="K34" s="10">
        <f t="shared" si="1"/>
        <v>143784.89560444537</v>
      </c>
      <c r="L34" s="11">
        <f t="shared" si="2"/>
        <v>-452.75145833333329</v>
      </c>
      <c r="M34" s="11"/>
      <c r="N34" s="11"/>
      <c r="O34" s="11">
        <f t="shared" si="3"/>
        <v>884.34</v>
      </c>
      <c r="P34" s="11"/>
      <c r="Q34" s="12">
        <f t="shared" si="4"/>
        <v>-455.76761489960393</v>
      </c>
      <c r="R34" s="10">
        <f t="shared" si="10"/>
        <v>-114944.18867678754</v>
      </c>
      <c r="S34" s="13">
        <f t="shared" si="5"/>
        <v>258453.74999999997</v>
      </c>
      <c r="T34" s="10">
        <f t="shared" si="6"/>
        <v>143784.89560444537</v>
      </c>
      <c r="U34" s="10">
        <f t="shared" si="13"/>
        <v>-275.33428123293561</v>
      </c>
    </row>
    <row r="35" spans="2:21" x14ac:dyDescent="0.25">
      <c r="B35" t="s">
        <v>46</v>
      </c>
      <c r="C35" s="1">
        <v>0.02</v>
      </c>
      <c r="F35" s="2">
        <f t="shared" si="11"/>
        <v>3</v>
      </c>
      <c r="G35" s="2">
        <f t="shared" si="12"/>
        <v>9</v>
      </c>
      <c r="H35" s="10">
        <f t="shared" si="0"/>
        <v>-887.35615656627056</v>
      </c>
      <c r="I35" s="11">
        <f t="shared" si="9"/>
        <v>-359.46223901111341</v>
      </c>
      <c r="J35" s="10">
        <f t="shared" si="8"/>
        <v>-527.89391755515715</v>
      </c>
      <c r="K35" s="10">
        <f t="shared" si="1"/>
        <v>143257.0016868902</v>
      </c>
      <c r="L35" s="11">
        <f t="shared" si="2"/>
        <v>-452.75145833333329</v>
      </c>
      <c r="M35" s="11"/>
      <c r="N35" s="11"/>
      <c r="O35" s="11">
        <f t="shared" si="3"/>
        <v>884.34</v>
      </c>
      <c r="P35" s="11"/>
      <c r="Q35" s="12">
        <f t="shared" si="4"/>
        <v>-455.76761489960393</v>
      </c>
      <c r="R35" s="10">
        <f t="shared" si="10"/>
        <v>-115399.95629168715</v>
      </c>
      <c r="S35" s="13">
        <f t="shared" si="5"/>
        <v>258453.74999999997</v>
      </c>
      <c r="T35" s="10">
        <f t="shared" si="6"/>
        <v>143257.0016868902</v>
      </c>
      <c r="U35" s="10">
        <f t="shared" si="13"/>
        <v>-203.20797857738216</v>
      </c>
    </row>
    <row r="36" spans="2:21" x14ac:dyDescent="0.25">
      <c r="B36" t="s">
        <v>51</v>
      </c>
      <c r="C36" s="25">
        <v>0.92</v>
      </c>
      <c r="F36" s="2">
        <f t="shared" si="11"/>
        <v>3</v>
      </c>
      <c r="G36" s="2">
        <f t="shared" si="12"/>
        <v>10</v>
      </c>
      <c r="H36" s="10">
        <f t="shared" si="0"/>
        <v>-887.35615656627056</v>
      </c>
      <c r="I36" s="11">
        <f t="shared" si="9"/>
        <v>-358.14250421722551</v>
      </c>
      <c r="J36" s="10">
        <f t="shared" si="8"/>
        <v>-529.21365234904511</v>
      </c>
      <c r="K36" s="10">
        <f t="shared" si="1"/>
        <v>142727.78803454115</v>
      </c>
      <c r="L36" s="11">
        <f t="shared" si="2"/>
        <v>-452.75145833333329</v>
      </c>
      <c r="M36" s="11"/>
      <c r="N36" s="11"/>
      <c r="O36" s="11">
        <f t="shared" si="3"/>
        <v>884.34</v>
      </c>
      <c r="P36" s="11"/>
      <c r="Q36" s="12">
        <f t="shared" si="4"/>
        <v>-455.76761489960393</v>
      </c>
      <c r="R36" s="10">
        <f t="shared" si="10"/>
        <v>-115855.72390658676</v>
      </c>
      <c r="S36" s="13">
        <f t="shared" si="5"/>
        <v>258453.74999999997</v>
      </c>
      <c r="T36" s="10">
        <f t="shared" si="6"/>
        <v>142727.78803454115</v>
      </c>
      <c r="U36" s="10">
        <f t="shared" si="13"/>
        <v>-129.76194112794474</v>
      </c>
    </row>
    <row r="37" spans="2:21" x14ac:dyDescent="0.25">
      <c r="B37" t="s">
        <v>65</v>
      </c>
      <c r="C37" s="25">
        <v>0.06</v>
      </c>
      <c r="F37" s="2">
        <f t="shared" si="11"/>
        <v>3</v>
      </c>
      <c r="G37" s="2">
        <f t="shared" si="12"/>
        <v>11</v>
      </c>
      <c r="H37" s="10">
        <f t="shared" si="0"/>
        <v>-887.35615656627056</v>
      </c>
      <c r="I37" s="11">
        <f t="shared" si="9"/>
        <v>-356.81947008635291</v>
      </c>
      <c r="J37" s="10">
        <f t="shared" si="8"/>
        <v>-530.53668647991765</v>
      </c>
      <c r="K37" s="10">
        <f t="shared" si="1"/>
        <v>142197.25134806123</v>
      </c>
      <c r="L37" s="11">
        <f t="shared" si="2"/>
        <v>-452.75145833333329</v>
      </c>
      <c r="M37" s="11"/>
      <c r="N37" s="11"/>
      <c r="O37" s="11">
        <f t="shared" si="3"/>
        <v>884.34</v>
      </c>
      <c r="P37" s="11"/>
      <c r="Q37" s="12">
        <f t="shared" si="4"/>
        <v>-455.76761489960393</v>
      </c>
      <c r="R37" s="10">
        <f t="shared" si="10"/>
        <v>-116311.49152148637</v>
      </c>
      <c r="S37" s="13">
        <f t="shared" si="5"/>
        <v>258453.74999999997</v>
      </c>
      <c r="T37" s="10">
        <f t="shared" si="6"/>
        <v>142197.25134806123</v>
      </c>
      <c r="U37" s="10">
        <f t="shared" si="13"/>
        <v>-54.992869547626469</v>
      </c>
    </row>
    <row r="38" spans="2:21" x14ac:dyDescent="0.25">
      <c r="C38" s="3"/>
      <c r="F38" s="2">
        <f t="shared" si="11"/>
        <v>3</v>
      </c>
      <c r="G38" s="2">
        <f t="shared" si="12"/>
        <v>12</v>
      </c>
      <c r="H38" s="10">
        <f t="shared" si="0"/>
        <v>-887.35615656627056</v>
      </c>
      <c r="I38" s="11">
        <f t="shared" si="9"/>
        <v>-355.49312837015304</v>
      </c>
      <c r="J38" s="10">
        <f t="shared" si="8"/>
        <v>-531.86302819611751</v>
      </c>
      <c r="K38" s="10">
        <f t="shared" si="1"/>
        <v>141665.3883198651</v>
      </c>
      <c r="L38" s="11">
        <f t="shared" si="2"/>
        <v>-452.75145833333329</v>
      </c>
      <c r="M38" s="11"/>
      <c r="N38" s="11"/>
      <c r="O38" s="11">
        <f t="shared" si="3"/>
        <v>884.34</v>
      </c>
      <c r="P38" s="11"/>
      <c r="Q38" s="12">
        <f t="shared" si="4"/>
        <v>-455.76761489960393</v>
      </c>
      <c r="R38" s="10">
        <f t="shared" si="10"/>
        <v>-116767.25913638598</v>
      </c>
      <c r="S38" s="13">
        <f t="shared" si="5"/>
        <v>258453.74999999997</v>
      </c>
      <c r="T38" s="10">
        <f t="shared" si="6"/>
        <v>141665.3883198651</v>
      </c>
      <c r="U38" s="10">
        <f t="shared" si="13"/>
        <v>21.102543748886092</v>
      </c>
    </row>
    <row r="39" spans="2:21" x14ac:dyDescent="0.25">
      <c r="C39" s="3"/>
      <c r="F39" s="2">
        <f t="shared" si="11"/>
        <v>4</v>
      </c>
      <c r="G39" s="2">
        <f t="shared" si="12"/>
        <v>1</v>
      </c>
      <c r="H39" s="10">
        <f t="shared" si="0"/>
        <v>-887.35615656627056</v>
      </c>
      <c r="I39" s="11">
        <f t="shared" si="9"/>
        <v>-354.16347079966278</v>
      </c>
      <c r="J39" s="10">
        <f t="shared" si="8"/>
        <v>-533.19268576660784</v>
      </c>
      <c r="K39" s="10">
        <f t="shared" si="1"/>
        <v>141132.19563409849</v>
      </c>
      <c r="L39" s="11">
        <f t="shared" si="2"/>
        <v>-460.21671145833329</v>
      </c>
      <c r="M39" s="11"/>
      <c r="N39" s="11"/>
      <c r="O39" s="11">
        <f t="shared" si="3"/>
        <v>902.02679999999998</v>
      </c>
      <c r="P39" s="11"/>
      <c r="Q39" s="12">
        <f t="shared" si="4"/>
        <v>-445.54606802460387</v>
      </c>
      <c r="R39" s="10">
        <f t="shared" si="10"/>
        <v>-117212.80520441059</v>
      </c>
      <c r="S39" s="13">
        <f t="shared" si="5"/>
        <v>264915.09374999994</v>
      </c>
      <c r="T39" s="10">
        <f t="shared" si="6"/>
        <v>141132.19563409849</v>
      </c>
      <c r="U39" s="10">
        <f t="shared" si="13"/>
        <v>6570.0929114908649</v>
      </c>
    </row>
    <row r="40" spans="2:21" x14ac:dyDescent="0.25">
      <c r="C40" s="3"/>
      <c r="F40" s="2">
        <f t="shared" si="11"/>
        <v>4</v>
      </c>
      <c r="G40" s="2">
        <f t="shared" si="12"/>
        <v>2</v>
      </c>
      <c r="H40" s="10">
        <f t="shared" si="0"/>
        <v>-887.35615656627056</v>
      </c>
      <c r="I40" s="11">
        <f t="shared" si="9"/>
        <v>-352.83048908524626</v>
      </c>
      <c r="J40" s="10">
        <f t="shared" si="8"/>
        <v>-534.52566748102436</v>
      </c>
      <c r="K40" s="10">
        <f t="shared" si="1"/>
        <v>140597.66996661745</v>
      </c>
      <c r="L40" s="11">
        <f t="shared" si="2"/>
        <v>-460.21671145833329</v>
      </c>
      <c r="M40" s="11"/>
      <c r="N40" s="11"/>
      <c r="O40" s="11">
        <f t="shared" si="3"/>
        <v>902.02679999999998</v>
      </c>
      <c r="P40" s="11"/>
      <c r="Q40" s="12">
        <f t="shared" si="4"/>
        <v>-445.54606802460387</v>
      </c>
      <c r="R40" s="10">
        <f t="shared" si="10"/>
        <v>-117658.35127243519</v>
      </c>
      <c r="S40" s="13">
        <f t="shared" si="5"/>
        <v>264915.09374999994</v>
      </c>
      <c r="T40" s="10">
        <f t="shared" si="6"/>
        <v>140597.66996661745</v>
      </c>
      <c r="U40" s="10">
        <f t="shared" si="13"/>
        <v>6659.0725109472987</v>
      </c>
    </row>
    <row r="41" spans="2:21" x14ac:dyDescent="0.25">
      <c r="C41" s="3"/>
      <c r="F41" s="2">
        <f t="shared" si="11"/>
        <v>4</v>
      </c>
      <c r="G41" s="2">
        <f t="shared" si="12"/>
        <v>3</v>
      </c>
      <c r="H41" s="10">
        <f t="shared" si="0"/>
        <v>-887.35615656627056</v>
      </c>
      <c r="I41" s="11">
        <f t="shared" si="9"/>
        <v>-351.49417491654361</v>
      </c>
      <c r="J41" s="10">
        <f t="shared" si="8"/>
        <v>-535.86198164972689</v>
      </c>
      <c r="K41" s="10">
        <f t="shared" si="1"/>
        <v>140061.80798496772</v>
      </c>
      <c r="L41" s="11">
        <f t="shared" si="2"/>
        <v>-460.21671145833329</v>
      </c>
      <c r="M41" s="11"/>
      <c r="N41" s="11"/>
      <c r="O41" s="11">
        <f t="shared" si="3"/>
        <v>902.02679999999998</v>
      </c>
      <c r="P41" s="11"/>
      <c r="Q41" s="12">
        <f t="shared" si="4"/>
        <v>-445.54606802460387</v>
      </c>
      <c r="R41" s="10">
        <f t="shared" si="10"/>
        <v>-118103.89734045979</v>
      </c>
      <c r="S41" s="13">
        <f t="shared" si="5"/>
        <v>264915.09374999994</v>
      </c>
      <c r="T41" s="10">
        <f t="shared" si="6"/>
        <v>140061.80798496772</v>
      </c>
      <c r="U41" s="10">
        <f t="shared" si="13"/>
        <v>6749.388424572433</v>
      </c>
    </row>
    <row r="42" spans="2:21" x14ac:dyDescent="0.25">
      <c r="C42" s="3"/>
      <c r="F42" s="2">
        <f t="shared" si="11"/>
        <v>4</v>
      </c>
      <c r="G42" s="2">
        <f t="shared" si="12"/>
        <v>4</v>
      </c>
      <c r="H42" s="10">
        <f t="shared" si="0"/>
        <v>-887.35615656627056</v>
      </c>
      <c r="I42" s="11">
        <f t="shared" si="9"/>
        <v>-350.15451996241927</v>
      </c>
      <c r="J42" s="10">
        <f t="shared" si="8"/>
        <v>-537.20163660385128</v>
      </c>
      <c r="K42" s="10">
        <f t="shared" si="1"/>
        <v>139524.60634836386</v>
      </c>
      <c r="L42" s="11">
        <f t="shared" si="2"/>
        <v>-460.21671145833329</v>
      </c>
      <c r="M42" s="11"/>
      <c r="N42" s="11"/>
      <c r="O42" s="11">
        <f t="shared" si="3"/>
        <v>902.02679999999998</v>
      </c>
      <c r="P42" s="11"/>
      <c r="Q42" s="12">
        <f t="shared" si="4"/>
        <v>-445.54606802460387</v>
      </c>
      <c r="R42" s="10">
        <f t="shared" si="10"/>
        <v>-118549.4434084844</v>
      </c>
      <c r="S42" s="13">
        <f t="shared" si="5"/>
        <v>264915.09374999994</v>
      </c>
      <c r="T42" s="10">
        <f t="shared" si="6"/>
        <v>139524.60634836386</v>
      </c>
      <c r="U42" s="10">
        <f t="shared" si="13"/>
        <v>6841.0439931516885</v>
      </c>
    </row>
    <row r="43" spans="2:21" x14ac:dyDescent="0.25">
      <c r="C43" s="3"/>
      <c r="F43" s="2">
        <f t="shared" si="11"/>
        <v>4</v>
      </c>
      <c r="G43" s="2">
        <f t="shared" si="12"/>
        <v>5</v>
      </c>
      <c r="H43" s="10">
        <f t="shared" si="0"/>
        <v>-887.35615656627056</v>
      </c>
      <c r="I43" s="11">
        <f t="shared" si="9"/>
        <v>-348.81151587090966</v>
      </c>
      <c r="J43" s="10">
        <f t="shared" si="8"/>
        <v>-538.54464069536084</v>
      </c>
      <c r="K43" s="10">
        <f t="shared" si="1"/>
        <v>138986.0617076685</v>
      </c>
      <c r="L43" s="11">
        <f t="shared" si="2"/>
        <v>-460.21671145833329</v>
      </c>
      <c r="M43" s="11"/>
      <c r="N43" s="11"/>
      <c r="O43" s="11">
        <f t="shared" si="3"/>
        <v>902.02679999999998</v>
      </c>
      <c r="P43" s="11"/>
      <c r="Q43" s="12">
        <f t="shared" si="4"/>
        <v>-445.54606802460387</v>
      </c>
      <c r="R43" s="10">
        <f t="shared" si="10"/>
        <v>-118994.989476509</v>
      </c>
      <c r="S43" s="13">
        <f t="shared" si="5"/>
        <v>264915.09374999994</v>
      </c>
      <c r="T43" s="10">
        <f t="shared" si="6"/>
        <v>138986.0617076685</v>
      </c>
      <c r="U43" s="10">
        <f t="shared" si="13"/>
        <v>6934.0425658224412</v>
      </c>
    </row>
    <row r="44" spans="2:21" x14ac:dyDescent="0.25">
      <c r="C44" s="3"/>
      <c r="F44" s="2">
        <f t="shared" si="11"/>
        <v>4</v>
      </c>
      <c r="G44" s="2">
        <f t="shared" si="12"/>
        <v>6</v>
      </c>
      <c r="H44" s="10">
        <f t="shared" si="0"/>
        <v>-887.35615656627056</v>
      </c>
      <c r="I44" s="11">
        <f t="shared" si="9"/>
        <v>-347.46515426917125</v>
      </c>
      <c r="J44" s="10">
        <f t="shared" si="8"/>
        <v>-539.89100229709925</v>
      </c>
      <c r="K44" s="10">
        <f t="shared" si="1"/>
        <v>138446.17070537139</v>
      </c>
      <c r="L44" s="11">
        <f t="shared" si="2"/>
        <v>-460.21671145833329</v>
      </c>
      <c r="M44" s="11"/>
      <c r="N44" s="11"/>
      <c r="O44" s="11">
        <f t="shared" si="3"/>
        <v>902.02679999999998</v>
      </c>
      <c r="P44" s="11"/>
      <c r="Q44" s="12">
        <f t="shared" si="4"/>
        <v>-445.54606802460387</v>
      </c>
      <c r="R44" s="10">
        <f t="shared" si="10"/>
        <v>-119440.5355445336</v>
      </c>
      <c r="S44" s="13">
        <f t="shared" si="5"/>
        <v>264915.09374999994</v>
      </c>
      <c r="T44" s="10">
        <f t="shared" si="6"/>
        <v>138446.17070537139</v>
      </c>
      <c r="U44" s="10">
        <f t="shared" si="13"/>
        <v>7028.3875000949483</v>
      </c>
    </row>
    <row r="45" spans="2:21" x14ac:dyDescent="0.25">
      <c r="C45" s="3"/>
      <c r="F45" s="2">
        <f t="shared" si="11"/>
        <v>4</v>
      </c>
      <c r="G45" s="2">
        <f t="shared" si="12"/>
        <v>7</v>
      </c>
      <c r="H45" s="10">
        <f t="shared" si="0"/>
        <v>-887.35615656627056</v>
      </c>
      <c r="I45" s="11">
        <f t="shared" si="9"/>
        <v>-346.1154267634285</v>
      </c>
      <c r="J45" s="10">
        <f t="shared" si="8"/>
        <v>-541.240729802842</v>
      </c>
      <c r="K45" s="10">
        <f t="shared" si="1"/>
        <v>137904.92997556855</v>
      </c>
      <c r="L45" s="11">
        <f t="shared" si="2"/>
        <v>-460.21671145833329</v>
      </c>
      <c r="M45" s="11"/>
      <c r="N45" s="11"/>
      <c r="O45" s="11">
        <f t="shared" si="3"/>
        <v>902.02679999999998</v>
      </c>
      <c r="P45" s="11"/>
      <c r="Q45" s="12">
        <f t="shared" si="4"/>
        <v>-445.54606802460387</v>
      </c>
      <c r="R45" s="10">
        <f t="shared" si="10"/>
        <v>-119886.08161255821</v>
      </c>
      <c r="S45" s="13">
        <f t="shared" si="5"/>
        <v>264915.09374999994</v>
      </c>
      <c r="T45" s="10">
        <f t="shared" si="6"/>
        <v>137904.92997556855</v>
      </c>
      <c r="U45" s="10">
        <f t="shared" si="13"/>
        <v>7124.0821618731861</v>
      </c>
    </row>
    <row r="46" spans="2:21" x14ac:dyDescent="0.25">
      <c r="C46" s="3"/>
      <c r="F46" s="2">
        <f t="shared" si="11"/>
        <v>4</v>
      </c>
      <c r="G46" s="2">
        <f t="shared" si="12"/>
        <v>8</v>
      </c>
      <c r="H46" s="10">
        <f t="shared" si="0"/>
        <v>-887.35615656627056</v>
      </c>
      <c r="I46" s="11">
        <f t="shared" si="9"/>
        <v>-344.76232493892138</v>
      </c>
      <c r="J46" s="10">
        <f t="shared" si="8"/>
        <v>-542.59383162734912</v>
      </c>
      <c r="K46" s="10">
        <f t="shared" si="1"/>
        <v>137362.33614394121</v>
      </c>
      <c r="L46" s="11">
        <f t="shared" si="2"/>
        <v>-460.21671145833329</v>
      </c>
      <c r="M46" s="11"/>
      <c r="N46" s="11"/>
      <c r="O46" s="11">
        <f t="shared" si="3"/>
        <v>902.02679999999998</v>
      </c>
      <c r="P46" s="11"/>
      <c r="Q46" s="12">
        <f t="shared" si="4"/>
        <v>-445.54606802460387</v>
      </c>
      <c r="R46" s="10">
        <f t="shared" si="10"/>
        <v>-120331.62768058281</v>
      </c>
      <c r="S46" s="13">
        <f t="shared" si="5"/>
        <v>264915.09374999994</v>
      </c>
      <c r="T46" s="10">
        <f t="shared" si="6"/>
        <v>137362.33614394121</v>
      </c>
      <c r="U46" s="10">
        <f t="shared" si="13"/>
        <v>7221.1299254759215</v>
      </c>
    </row>
    <row r="47" spans="2:21" x14ac:dyDescent="0.25">
      <c r="F47" s="2">
        <f t="shared" si="11"/>
        <v>4</v>
      </c>
      <c r="G47" s="2">
        <f t="shared" si="12"/>
        <v>9</v>
      </c>
      <c r="H47" s="10">
        <f t="shared" si="0"/>
        <v>-887.35615656627056</v>
      </c>
      <c r="I47" s="11">
        <f t="shared" si="9"/>
        <v>-343.40584035985302</v>
      </c>
      <c r="J47" s="10">
        <f t="shared" si="8"/>
        <v>-543.95031620641748</v>
      </c>
      <c r="K47" s="10">
        <f t="shared" si="1"/>
        <v>136818.3858277348</v>
      </c>
      <c r="L47" s="11">
        <f t="shared" si="2"/>
        <v>-460.21671145833329</v>
      </c>
      <c r="M47" s="11"/>
      <c r="N47" s="11"/>
      <c r="O47" s="11">
        <f t="shared" si="3"/>
        <v>902.02679999999998</v>
      </c>
      <c r="P47" s="11"/>
      <c r="Q47" s="12">
        <f t="shared" si="4"/>
        <v>-445.54606802460387</v>
      </c>
      <c r="R47" s="10">
        <f t="shared" si="10"/>
        <v>-120777.17374860741</v>
      </c>
      <c r="S47" s="13">
        <f t="shared" si="5"/>
        <v>264915.09374999994</v>
      </c>
      <c r="T47" s="10">
        <f t="shared" si="6"/>
        <v>136818.3858277348</v>
      </c>
      <c r="U47" s="10">
        <f t="shared" si="13"/>
        <v>7319.5341736577248</v>
      </c>
    </row>
    <row r="48" spans="2:21" x14ac:dyDescent="0.25">
      <c r="F48" s="2">
        <f t="shared" si="11"/>
        <v>4</v>
      </c>
      <c r="G48" s="2">
        <f t="shared" si="12"/>
        <v>10</v>
      </c>
      <c r="H48" s="10">
        <f t="shared" si="0"/>
        <v>-887.35615656627056</v>
      </c>
      <c r="I48" s="11">
        <f t="shared" si="9"/>
        <v>-342.045964569337</v>
      </c>
      <c r="J48" s="10">
        <f t="shared" si="8"/>
        <v>-545.31019199693355</v>
      </c>
      <c r="K48" s="10">
        <f t="shared" si="1"/>
        <v>136273.07563573789</v>
      </c>
      <c r="L48" s="11">
        <f t="shared" si="2"/>
        <v>-460.21671145833329</v>
      </c>
      <c r="M48" s="11"/>
      <c r="N48" s="11"/>
      <c r="O48" s="11">
        <f t="shared" si="3"/>
        <v>902.02679999999998</v>
      </c>
      <c r="P48" s="11"/>
      <c r="Q48" s="12">
        <f t="shared" si="4"/>
        <v>-445.54606802460387</v>
      </c>
      <c r="R48" s="10">
        <f t="shared" si="10"/>
        <v>-121222.71981663202</v>
      </c>
      <c r="S48" s="13">
        <f t="shared" si="5"/>
        <v>264915.09374999994</v>
      </c>
      <c r="T48" s="10">
        <f t="shared" si="6"/>
        <v>136273.07563573789</v>
      </c>
      <c r="U48" s="10">
        <f t="shared" si="13"/>
        <v>7419.2982976300409</v>
      </c>
    </row>
    <row r="49" spans="4:21" x14ac:dyDescent="0.25">
      <c r="F49" s="2">
        <f t="shared" si="11"/>
        <v>4</v>
      </c>
      <c r="G49" s="2">
        <f t="shared" si="12"/>
        <v>11</v>
      </c>
      <c r="H49" s="10">
        <f t="shared" si="0"/>
        <v>-887.35615656627056</v>
      </c>
      <c r="I49" s="11">
        <f t="shared" si="9"/>
        <v>-340.68268908934471</v>
      </c>
      <c r="J49" s="10">
        <f t="shared" si="8"/>
        <v>-546.67346747692591</v>
      </c>
      <c r="K49" s="10">
        <f t="shared" si="1"/>
        <v>135726.40216826095</v>
      </c>
      <c r="L49" s="11">
        <f t="shared" si="2"/>
        <v>-460.21671145833329</v>
      </c>
      <c r="M49" s="11"/>
      <c r="N49" s="11"/>
      <c r="O49" s="11">
        <f t="shared" si="3"/>
        <v>902.02679999999998</v>
      </c>
      <c r="P49" s="11"/>
      <c r="Q49" s="12">
        <f t="shared" si="4"/>
        <v>-445.54606802460387</v>
      </c>
      <c r="R49" s="10">
        <f t="shared" si="10"/>
        <v>-121668.26588465662</v>
      </c>
      <c r="S49" s="13">
        <f t="shared" si="5"/>
        <v>264915.09374999994</v>
      </c>
      <c r="T49" s="10">
        <f t="shared" si="6"/>
        <v>135726.40216826095</v>
      </c>
      <c r="U49" s="10">
        <f t="shared" si="13"/>
        <v>7520.4256970823772</v>
      </c>
    </row>
    <row r="50" spans="4:21" x14ac:dyDescent="0.25">
      <c r="F50" s="2">
        <f t="shared" si="11"/>
        <v>4</v>
      </c>
      <c r="G50" s="2">
        <f t="shared" si="12"/>
        <v>12</v>
      </c>
      <c r="H50" s="10">
        <f t="shared" si="0"/>
        <v>-887.35615656627056</v>
      </c>
      <c r="I50" s="11">
        <f t="shared" si="9"/>
        <v>-339.31600542065235</v>
      </c>
      <c r="J50" s="10">
        <f t="shared" si="8"/>
        <v>-548.04015114561821</v>
      </c>
      <c r="K50" s="10">
        <f t="shared" si="1"/>
        <v>135178.36201711532</v>
      </c>
      <c r="L50" s="11">
        <f t="shared" si="2"/>
        <v>-460.21671145833329</v>
      </c>
      <c r="M50" s="11"/>
      <c r="N50" s="11"/>
      <c r="O50" s="11">
        <f t="shared" si="3"/>
        <v>902.02679999999998</v>
      </c>
      <c r="P50" s="11"/>
      <c r="Q50" s="12">
        <f t="shared" si="4"/>
        <v>-445.54606802460387</v>
      </c>
      <c r="R50" s="10">
        <f t="shared" si="10"/>
        <v>-122113.81195268122</v>
      </c>
      <c r="S50" s="13">
        <f t="shared" si="5"/>
        <v>264915.09374999994</v>
      </c>
      <c r="T50" s="10">
        <f t="shared" si="6"/>
        <v>135178.36201711532</v>
      </c>
      <c r="U50" s="10">
        <f t="shared" si="13"/>
        <v>7622.9197802034032</v>
      </c>
    </row>
    <row r="51" spans="4:21" x14ac:dyDescent="0.25">
      <c r="F51" s="2">
        <f t="shared" si="11"/>
        <v>5</v>
      </c>
      <c r="G51" s="2">
        <f t="shared" si="12"/>
        <v>1</v>
      </c>
      <c r="H51" s="10">
        <f t="shared" si="0"/>
        <v>-887.35615656627056</v>
      </c>
      <c r="I51" s="11">
        <f t="shared" si="9"/>
        <v>-337.9459050427883</v>
      </c>
      <c r="J51" s="10">
        <f t="shared" si="8"/>
        <v>-549.4102515234822</v>
      </c>
      <c r="K51" s="10">
        <f t="shared" si="1"/>
        <v>134628.95176559183</v>
      </c>
      <c r="L51" s="11">
        <f t="shared" si="2"/>
        <v>-467.85819191145822</v>
      </c>
      <c r="M51" s="11"/>
      <c r="N51" s="11"/>
      <c r="O51" s="11">
        <f t="shared" si="3"/>
        <v>920.06733599999995</v>
      </c>
      <c r="P51" s="11"/>
      <c r="Q51" s="12">
        <f t="shared" si="4"/>
        <v>-435.14701247772894</v>
      </c>
      <c r="R51" s="10">
        <f t="shared" si="10"/>
        <v>-122548.95896515895</v>
      </c>
      <c r="S51" s="13">
        <f t="shared" si="5"/>
        <v>271537.97109374992</v>
      </c>
      <c r="T51" s="10">
        <f t="shared" si="6"/>
        <v>134628.95176559183</v>
      </c>
      <c r="U51" s="10">
        <f t="shared" si="13"/>
        <v>14360.060362999138</v>
      </c>
    </row>
    <row r="52" spans="4:21" x14ac:dyDescent="0.25">
      <c r="F52" s="2">
        <f t="shared" si="11"/>
        <v>5</v>
      </c>
      <c r="G52" s="2">
        <f t="shared" si="12"/>
        <v>2</v>
      </c>
      <c r="H52" s="10">
        <f t="shared" si="0"/>
        <v>-887.35615656627056</v>
      </c>
      <c r="I52" s="11">
        <f t="shared" si="9"/>
        <v>-336.5723794139796</v>
      </c>
      <c r="J52" s="10">
        <f t="shared" si="8"/>
        <v>-550.7837771522909</v>
      </c>
      <c r="K52" s="10">
        <f t="shared" si="1"/>
        <v>134078.16798843953</v>
      </c>
      <c r="L52" s="11">
        <f t="shared" si="2"/>
        <v>-467.85819191145822</v>
      </c>
      <c r="M52" s="11"/>
      <c r="N52" s="11"/>
      <c r="O52" s="11">
        <f t="shared" si="3"/>
        <v>920.06733599999995</v>
      </c>
      <c r="P52" s="11"/>
      <c r="Q52" s="12">
        <f t="shared" si="4"/>
        <v>-435.14701247772894</v>
      </c>
      <c r="R52" s="10">
        <f t="shared" si="10"/>
        <v>-122984.10597763667</v>
      </c>
      <c r="S52" s="13">
        <f t="shared" si="5"/>
        <v>271537.97109374992</v>
      </c>
      <c r="T52" s="10">
        <f t="shared" si="6"/>
        <v>134078.16798843953</v>
      </c>
      <c r="U52" s="10">
        <f t="shared" si="13"/>
        <v>14475.697127673717</v>
      </c>
    </row>
    <row r="53" spans="4:21" x14ac:dyDescent="0.25">
      <c r="F53" s="2">
        <f t="shared" si="11"/>
        <v>5</v>
      </c>
      <c r="G53" s="2">
        <f t="shared" si="12"/>
        <v>3</v>
      </c>
      <c r="H53" s="10">
        <f t="shared" si="0"/>
        <v>-887.35615656627056</v>
      </c>
      <c r="I53" s="11">
        <f t="shared" si="9"/>
        <v>-335.19541997109883</v>
      </c>
      <c r="J53" s="10">
        <f t="shared" si="8"/>
        <v>-552.16073659517178</v>
      </c>
      <c r="K53" s="10">
        <f t="shared" si="1"/>
        <v>133526.00725184436</v>
      </c>
      <c r="L53" s="11">
        <f t="shared" si="2"/>
        <v>-467.85819191145822</v>
      </c>
      <c r="M53" s="11"/>
      <c r="N53" s="11"/>
      <c r="O53" s="11">
        <f t="shared" si="3"/>
        <v>920.06733599999995</v>
      </c>
      <c r="P53" s="11"/>
      <c r="Q53" s="12">
        <f t="shared" si="4"/>
        <v>-435.14701247772894</v>
      </c>
      <c r="R53" s="10">
        <f t="shared" si="10"/>
        <v>-123419.2529901144</v>
      </c>
      <c r="S53" s="13">
        <f t="shared" si="5"/>
        <v>271537.97109374992</v>
      </c>
      <c r="T53" s="10">
        <f t="shared" si="6"/>
        <v>133526.00725184436</v>
      </c>
      <c r="U53" s="10">
        <f t="shared" si="13"/>
        <v>14592.710851791155</v>
      </c>
    </row>
    <row r="54" spans="4:21" x14ac:dyDescent="0.25">
      <c r="F54" s="2">
        <f t="shared" si="11"/>
        <v>5</v>
      </c>
      <c r="G54" s="2">
        <f t="shared" si="12"/>
        <v>4</v>
      </c>
      <c r="H54" s="10">
        <f t="shared" si="0"/>
        <v>-887.35615656627056</v>
      </c>
      <c r="I54" s="11">
        <f t="shared" si="9"/>
        <v>-333.81501812961091</v>
      </c>
      <c r="J54" s="10">
        <f t="shared" si="8"/>
        <v>-553.54113843665959</v>
      </c>
      <c r="K54" s="10">
        <f t="shared" si="1"/>
        <v>132972.46611340772</v>
      </c>
      <c r="L54" s="11">
        <f t="shared" si="2"/>
        <v>-467.85819191145822</v>
      </c>
      <c r="M54" s="11"/>
      <c r="N54" s="11"/>
      <c r="O54" s="11">
        <f t="shared" si="3"/>
        <v>920.06733599999995</v>
      </c>
      <c r="P54" s="11"/>
      <c r="Q54" s="12">
        <f t="shared" si="4"/>
        <v>-435.14701247772894</v>
      </c>
      <c r="R54" s="10">
        <f t="shared" si="10"/>
        <v>-123854.40000259213</v>
      </c>
      <c r="S54" s="13">
        <f t="shared" si="5"/>
        <v>271537.97109374992</v>
      </c>
      <c r="T54" s="10">
        <f t="shared" si="6"/>
        <v>132972.46611340772</v>
      </c>
      <c r="U54" s="10">
        <f t="shared" si="13"/>
        <v>14711.104977750074</v>
      </c>
    </row>
    <row r="55" spans="4:21" x14ac:dyDescent="0.25">
      <c r="F55" s="2">
        <f t="shared" si="11"/>
        <v>5</v>
      </c>
      <c r="G55" s="2">
        <f t="shared" si="12"/>
        <v>5</v>
      </c>
      <c r="H55" s="10">
        <f t="shared" si="0"/>
        <v>-887.35615656627056</v>
      </c>
      <c r="I55" s="11">
        <f t="shared" si="9"/>
        <v>-332.43116528351931</v>
      </c>
      <c r="J55" s="10">
        <f t="shared" si="8"/>
        <v>-554.92499128275131</v>
      </c>
      <c r="K55" s="10">
        <f t="shared" si="1"/>
        <v>132417.54112212497</v>
      </c>
      <c r="L55" s="11">
        <f t="shared" si="2"/>
        <v>-467.85819191145822</v>
      </c>
      <c r="M55" s="11"/>
      <c r="N55" s="11"/>
      <c r="O55" s="11">
        <f t="shared" si="3"/>
        <v>920.06733599999995</v>
      </c>
      <c r="P55" s="11"/>
      <c r="Q55" s="12">
        <f t="shared" si="4"/>
        <v>-435.14701247772894</v>
      </c>
      <c r="R55" s="10">
        <f t="shared" si="10"/>
        <v>-124289.54701506985</v>
      </c>
      <c r="S55" s="13">
        <f t="shared" si="5"/>
        <v>271537.97109374992</v>
      </c>
      <c r="T55" s="10">
        <f t="shared" si="6"/>
        <v>132417.54112212497</v>
      </c>
      <c r="U55" s="10">
        <f t="shared" si="13"/>
        <v>14830.882956555099</v>
      </c>
    </row>
    <row r="56" spans="4:21" x14ac:dyDescent="0.25">
      <c r="F56" s="2">
        <f t="shared" si="11"/>
        <v>5</v>
      </c>
      <c r="G56" s="2">
        <f t="shared" si="12"/>
        <v>6</v>
      </c>
      <c r="H56" s="10">
        <f t="shared" si="0"/>
        <v>-887.35615656627056</v>
      </c>
      <c r="I56" s="11">
        <f t="shared" si="9"/>
        <v>-331.04385280531244</v>
      </c>
      <c r="J56" s="10">
        <f t="shared" si="8"/>
        <v>-556.31230376095812</v>
      </c>
      <c r="K56" s="10">
        <f t="shared" si="1"/>
        <v>131861.228818364</v>
      </c>
      <c r="L56" s="11">
        <f t="shared" si="2"/>
        <v>-467.85819191145822</v>
      </c>
      <c r="M56" s="11"/>
      <c r="N56" s="11"/>
      <c r="O56" s="11">
        <f t="shared" si="3"/>
        <v>920.06733599999995</v>
      </c>
      <c r="P56" s="11"/>
      <c r="Q56" s="12">
        <f t="shared" si="4"/>
        <v>-435.14701247772894</v>
      </c>
      <c r="R56" s="10">
        <f t="shared" si="10"/>
        <v>-124724.69402754758</v>
      </c>
      <c r="S56" s="13">
        <f t="shared" si="5"/>
        <v>271537.97109374992</v>
      </c>
      <c r="T56" s="10">
        <f t="shared" si="6"/>
        <v>131861.228818364</v>
      </c>
      <c r="U56" s="10">
        <f t="shared" si="13"/>
        <v>14952.048247838335</v>
      </c>
    </row>
    <row r="57" spans="4:21" x14ac:dyDescent="0.25">
      <c r="F57" s="2">
        <f t="shared" si="11"/>
        <v>5</v>
      </c>
      <c r="G57" s="2">
        <f t="shared" si="12"/>
        <v>7</v>
      </c>
      <c r="H57" s="10">
        <f t="shared" si="0"/>
        <v>-887.35615656627056</v>
      </c>
      <c r="I57" s="11">
        <f t="shared" si="9"/>
        <v>-329.65307204590999</v>
      </c>
      <c r="J57" s="10">
        <f t="shared" si="8"/>
        <v>-557.70308452036056</v>
      </c>
      <c r="K57" s="10">
        <f t="shared" si="1"/>
        <v>131303.52573384365</v>
      </c>
      <c r="L57" s="11">
        <f t="shared" si="2"/>
        <v>-467.85819191145822</v>
      </c>
      <c r="M57" s="11"/>
      <c r="N57" s="11"/>
      <c r="O57" s="11">
        <f t="shared" si="3"/>
        <v>920.06733599999995</v>
      </c>
      <c r="P57" s="11"/>
      <c r="Q57" s="12">
        <f t="shared" si="4"/>
        <v>-435.14701247772894</v>
      </c>
      <c r="R57" s="10">
        <f t="shared" si="10"/>
        <v>-125159.84104002531</v>
      </c>
      <c r="S57" s="13">
        <f t="shared" si="5"/>
        <v>271537.97109374992</v>
      </c>
      <c r="T57" s="10">
        <f t="shared" si="6"/>
        <v>131303.52573384365</v>
      </c>
      <c r="U57" s="10">
        <f t="shared" si="13"/>
        <v>15074.604319880964</v>
      </c>
    </row>
    <row r="58" spans="4:21" x14ac:dyDescent="0.25">
      <c r="F58" s="2">
        <f t="shared" si="11"/>
        <v>5</v>
      </c>
      <c r="G58" s="2">
        <f t="shared" si="12"/>
        <v>8</v>
      </c>
      <c r="H58" s="10">
        <f t="shared" si="0"/>
        <v>-887.35615656627056</v>
      </c>
      <c r="I58" s="11">
        <f t="shared" si="9"/>
        <v>-328.25881433460916</v>
      </c>
      <c r="J58" s="10">
        <f t="shared" si="8"/>
        <v>-559.0973422316614</v>
      </c>
      <c r="K58" s="10">
        <f t="shared" si="1"/>
        <v>130744.42839161199</v>
      </c>
      <c r="L58" s="11">
        <f t="shared" si="2"/>
        <v>-467.85819191145822</v>
      </c>
      <c r="M58" s="11"/>
      <c r="N58" s="11"/>
      <c r="O58" s="11">
        <f t="shared" si="3"/>
        <v>920.06733599999995</v>
      </c>
      <c r="P58" s="11"/>
      <c r="Q58" s="12">
        <f t="shared" si="4"/>
        <v>-435.14701247772894</v>
      </c>
      <c r="R58" s="10">
        <f t="shared" si="10"/>
        <v>-125594.98805250303</v>
      </c>
      <c r="S58" s="13">
        <f t="shared" si="5"/>
        <v>271537.97109374992</v>
      </c>
      <c r="T58" s="10">
        <f t="shared" si="6"/>
        <v>130744.42839161199</v>
      </c>
      <c r="U58" s="10">
        <f t="shared" si="13"/>
        <v>15198.554649634898</v>
      </c>
    </row>
    <row r="59" spans="4:21" x14ac:dyDescent="0.25">
      <c r="F59" s="2">
        <f t="shared" si="11"/>
        <v>5</v>
      </c>
      <c r="G59" s="2">
        <f t="shared" si="12"/>
        <v>9</v>
      </c>
      <c r="H59" s="10">
        <f t="shared" si="0"/>
        <v>-887.35615656627056</v>
      </c>
      <c r="I59" s="11">
        <f t="shared" si="9"/>
        <v>-326.86107097902999</v>
      </c>
      <c r="J59" s="10">
        <f t="shared" si="8"/>
        <v>-560.49508558724051</v>
      </c>
      <c r="K59" s="10">
        <f t="shared" si="1"/>
        <v>130183.93330602474</v>
      </c>
      <c r="L59" s="11">
        <f t="shared" si="2"/>
        <v>-467.85819191145822</v>
      </c>
      <c r="M59" s="11"/>
      <c r="N59" s="11"/>
      <c r="O59" s="11">
        <f t="shared" si="3"/>
        <v>920.06733599999995</v>
      </c>
      <c r="P59" s="11"/>
      <c r="Q59" s="12">
        <f t="shared" si="4"/>
        <v>-435.14701247772894</v>
      </c>
      <c r="R59" s="10">
        <f t="shared" si="10"/>
        <v>-126030.13506498076</v>
      </c>
      <c r="S59" s="13">
        <f t="shared" si="5"/>
        <v>271537.97109374992</v>
      </c>
      <c r="T59" s="10">
        <f t="shared" si="6"/>
        <v>130183.93330602474</v>
      </c>
      <c r="U59" s="10">
        <f t="shared" si="13"/>
        <v>15323.902722744402</v>
      </c>
    </row>
    <row r="60" spans="4:21" x14ac:dyDescent="0.25">
      <c r="F60" s="2">
        <f t="shared" si="11"/>
        <v>5</v>
      </c>
      <c r="G60" s="2">
        <f t="shared" si="12"/>
        <v>10</v>
      </c>
      <c r="H60" s="10">
        <f t="shared" si="0"/>
        <v>-887.35615656627056</v>
      </c>
      <c r="I60" s="11">
        <f t="shared" si="9"/>
        <v>-325.45983326506189</v>
      </c>
      <c r="J60" s="10">
        <f t="shared" si="8"/>
        <v>-561.89632330120867</v>
      </c>
      <c r="K60" s="10">
        <f t="shared" si="1"/>
        <v>129622.03698272354</v>
      </c>
      <c r="L60" s="11">
        <f t="shared" si="2"/>
        <v>-467.85819191145822</v>
      </c>
      <c r="M60" s="11"/>
      <c r="N60" s="11"/>
      <c r="O60" s="11">
        <f t="shared" si="3"/>
        <v>920.06733599999995</v>
      </c>
      <c r="P60" s="11"/>
      <c r="Q60" s="12">
        <f t="shared" si="4"/>
        <v>-435.14701247772894</v>
      </c>
      <c r="R60" s="10">
        <f t="shared" si="10"/>
        <v>-126465.28207745848</v>
      </c>
      <c r="S60" s="13">
        <f t="shared" si="5"/>
        <v>271537.97109374992</v>
      </c>
      <c r="T60" s="10">
        <f t="shared" si="6"/>
        <v>129622.03698272354</v>
      </c>
      <c r="U60" s="10">
        <f t="shared" si="13"/>
        <v>15450.652033567894</v>
      </c>
    </row>
    <row r="61" spans="4:21" x14ac:dyDescent="0.25">
      <c r="F61" s="2">
        <f t="shared" si="11"/>
        <v>5</v>
      </c>
      <c r="G61" s="2">
        <f t="shared" si="12"/>
        <v>11</v>
      </c>
      <c r="H61" s="10">
        <f t="shared" si="0"/>
        <v>-887.35615656627056</v>
      </c>
      <c r="I61" s="11">
        <f t="shared" si="9"/>
        <v>-324.05509245680884</v>
      </c>
      <c r="J61" s="10">
        <f t="shared" si="8"/>
        <v>-563.30106410946178</v>
      </c>
      <c r="K61" s="10">
        <f t="shared" si="1"/>
        <v>129058.73591861408</v>
      </c>
      <c r="L61" s="11">
        <f t="shared" si="2"/>
        <v>-467.85819191145822</v>
      </c>
      <c r="M61" s="11"/>
      <c r="N61" s="11"/>
      <c r="O61" s="11">
        <f t="shared" si="3"/>
        <v>920.06733599999995</v>
      </c>
      <c r="P61" s="11"/>
      <c r="Q61" s="12">
        <f t="shared" si="4"/>
        <v>-435.14701247772894</v>
      </c>
      <c r="R61" s="10">
        <f t="shared" si="10"/>
        <v>-126900.42908993621</v>
      </c>
      <c r="S61" s="13">
        <f t="shared" si="5"/>
        <v>271537.97109374992</v>
      </c>
      <c r="T61" s="10">
        <f>K61</f>
        <v>129058.73591861408</v>
      </c>
      <c r="U61" s="10">
        <f t="shared" si="13"/>
        <v>15578.806085199627</v>
      </c>
    </row>
    <row r="62" spans="4:21" x14ac:dyDescent="0.25">
      <c r="F62" s="2">
        <f t="shared" si="11"/>
        <v>5</v>
      </c>
      <c r="G62" s="2">
        <f t="shared" si="12"/>
        <v>12</v>
      </c>
      <c r="H62" s="10">
        <f t="shared" si="0"/>
        <v>-887.35615656627056</v>
      </c>
      <c r="I62" s="11">
        <f t="shared" si="9"/>
        <v>-322.64683979653523</v>
      </c>
      <c r="J62" s="10">
        <f t="shared" si="8"/>
        <v>-564.70931676973532</v>
      </c>
      <c r="K62" s="10">
        <f t="shared" si="1"/>
        <v>128494.02660184435</v>
      </c>
      <c r="L62" s="11">
        <f t="shared" si="2"/>
        <v>-467.85819191145822</v>
      </c>
      <c r="M62" s="11"/>
      <c r="N62" s="11"/>
      <c r="O62" s="11">
        <f t="shared" si="3"/>
        <v>920.06733599999995</v>
      </c>
      <c r="P62" s="11"/>
      <c r="Q62" s="12">
        <f t="shared" si="4"/>
        <v>-435.14701247772894</v>
      </c>
      <c r="R62" s="10">
        <f>R61+Q62</f>
        <v>-127335.57610241394</v>
      </c>
      <c r="S62" s="13">
        <f t="shared" si="5"/>
        <v>271537.97109374992</v>
      </c>
      <c r="T62" s="10">
        <f>K62</f>
        <v>128494.02660184435</v>
      </c>
      <c r="U62" s="10">
        <f t="shared" si="13"/>
        <v>15708.368389491632</v>
      </c>
    </row>
    <row r="63" spans="4:21" x14ac:dyDescent="0.25">
      <c r="D63" s="18" t="s">
        <v>49</v>
      </c>
      <c r="F63" s="2">
        <f t="shared" si="11"/>
        <v>6</v>
      </c>
      <c r="G63" s="2">
        <f t="shared" si="12"/>
        <v>1</v>
      </c>
      <c r="H63" s="10">
        <f t="shared" si="0"/>
        <v>-887.35615656627056</v>
      </c>
      <c r="I63" s="11">
        <f t="shared" ref="I63:I122" si="14">-K62*$D$12</f>
        <v>-321.23506650461087</v>
      </c>
      <c r="J63" s="10">
        <f t="shared" ref="J63:J122" si="15">H63-I63</f>
        <v>-566.12109006165974</v>
      </c>
      <c r="K63" s="10">
        <f t="shared" ref="K63:K122" si="16">K62+J63</f>
        <v>127927.90551178269</v>
      </c>
      <c r="L63" s="11">
        <f>-($C$15/12+$C$17*$C$11/12+$C$18/12*(1+$C$19)^($F63-1)+$C$20*S63/12)-P63*$C$37</f>
        <v>-527.48356858205545</v>
      </c>
      <c r="M63" s="11"/>
      <c r="N63" s="11">
        <f>-$C$34*(1+$C$35)^($F63-1)</f>
        <v>-938.46868272000006</v>
      </c>
      <c r="O63" s="11">
        <f t="shared" si="3"/>
        <v>938.46868272000006</v>
      </c>
      <c r="P63" s="11">
        <f>$C$34*(1+$C$35)^($F63-1)*$C$36</f>
        <v>863.39118810240006</v>
      </c>
      <c r="Q63" s="12">
        <f>L63+H63+N63+O63+P63</f>
        <v>-551.44853704592583</v>
      </c>
      <c r="R63" s="10">
        <f t="shared" ref="R63:R122" si="17">R62+Q63</f>
        <v>-127887.02463945987</v>
      </c>
      <c r="S63" s="13">
        <f t="shared" si="5"/>
        <v>278326.42037109367</v>
      </c>
      <c r="T63" s="10">
        <f t="shared" ref="T63:T122" si="18">K63</f>
        <v>127927.90551178269</v>
      </c>
      <c r="U63" s="10">
        <f t="shared" ref="U63:U122" si="19">S63-T63+R63</f>
        <v>22511.490219851126</v>
      </c>
    </row>
    <row r="64" spans="4:21" x14ac:dyDescent="0.25">
      <c r="F64" s="2">
        <f t="shared" si="11"/>
        <v>6</v>
      </c>
      <c r="G64" s="2">
        <f t="shared" si="12"/>
        <v>2</v>
      </c>
      <c r="H64" s="10">
        <f t="shared" si="0"/>
        <v>-887.35615656627056</v>
      </c>
      <c r="I64" s="11">
        <f t="shared" si="14"/>
        <v>-319.81976377945676</v>
      </c>
      <c r="J64" s="10">
        <f t="shared" si="15"/>
        <v>-567.53639278681385</v>
      </c>
      <c r="K64" s="10">
        <f t="shared" si="16"/>
        <v>127360.36911899588</v>
      </c>
      <c r="L64" s="11">
        <f t="shared" ref="L64:L122" si="20">-($C$15/12+$C$17*$C$11/12+$C$18/12*(1+$C$19)^($F64-1)+$C$20*S64/12)-P64*$C$37</f>
        <v>-527.48356858205545</v>
      </c>
      <c r="M64" s="11"/>
      <c r="N64" s="11">
        <f t="shared" ref="N64:N122" si="21">-$C$34*(1+$C$35)^($F64-1)</f>
        <v>-938.46868272000006</v>
      </c>
      <c r="O64" s="11">
        <f t="shared" si="3"/>
        <v>938.46868272000006</v>
      </c>
      <c r="P64" s="11">
        <f t="shared" ref="P64:P122" si="22">$C$34*(1+$C$35)^($F64-1)*$C$36</f>
        <v>863.39118810240006</v>
      </c>
      <c r="Q64" s="12">
        <f t="shared" si="4"/>
        <v>-551.44853704592583</v>
      </c>
      <c r="R64" s="10">
        <f t="shared" si="17"/>
        <v>-128438.47317650579</v>
      </c>
      <c r="S64" s="13">
        <f t="shared" si="5"/>
        <v>278326.42037109367</v>
      </c>
      <c r="T64" s="10">
        <f t="shared" si="18"/>
        <v>127360.36911899588</v>
      </c>
      <c r="U64" s="10">
        <f t="shared" si="19"/>
        <v>22527.578075591999</v>
      </c>
    </row>
    <row r="65" spans="3:21" x14ac:dyDescent="0.25">
      <c r="F65" s="2">
        <f t="shared" si="11"/>
        <v>6</v>
      </c>
      <c r="G65" s="2">
        <f t="shared" si="12"/>
        <v>3</v>
      </c>
      <c r="H65" s="10">
        <f t="shared" si="0"/>
        <v>-887.35615656627056</v>
      </c>
      <c r="I65" s="11">
        <f t="shared" si="14"/>
        <v>-318.40092279748973</v>
      </c>
      <c r="J65" s="10">
        <f t="shared" si="15"/>
        <v>-568.95523376878077</v>
      </c>
      <c r="K65" s="10">
        <f t="shared" si="16"/>
        <v>126791.4138852271</v>
      </c>
      <c r="L65" s="11">
        <f t="shared" si="20"/>
        <v>-527.48356858205545</v>
      </c>
      <c r="M65" s="11"/>
      <c r="N65" s="11">
        <f t="shared" si="21"/>
        <v>-938.46868272000006</v>
      </c>
      <c r="O65" s="11">
        <f t="shared" ref="O65:O122" si="23">$C$34*(1+$C$35)^($F65-1)</f>
        <v>938.46868272000006</v>
      </c>
      <c r="P65" s="11">
        <f t="shared" si="22"/>
        <v>863.39118810240006</v>
      </c>
      <c r="Q65" s="12">
        <f t="shared" si="4"/>
        <v>-551.44853704592583</v>
      </c>
      <c r="R65" s="10">
        <f t="shared" si="17"/>
        <v>-128989.92171355172</v>
      </c>
      <c r="S65" s="13">
        <f t="shared" si="5"/>
        <v>278326.42037109367</v>
      </c>
      <c r="T65" s="10">
        <f t="shared" si="18"/>
        <v>126791.4138852271</v>
      </c>
      <c r="U65" s="10">
        <f t="shared" si="19"/>
        <v>22545.084772314833</v>
      </c>
    </row>
    <row r="66" spans="3:21" x14ac:dyDescent="0.25">
      <c r="C66" s="3"/>
      <c r="F66" s="2">
        <f t="shared" si="11"/>
        <v>6</v>
      </c>
      <c r="G66" s="2">
        <f t="shared" si="12"/>
        <v>4</v>
      </c>
      <c r="H66" s="10">
        <f t="shared" si="0"/>
        <v>-887.35615656627056</v>
      </c>
      <c r="I66" s="11">
        <f t="shared" si="14"/>
        <v>-316.97853471306775</v>
      </c>
      <c r="J66" s="10">
        <f t="shared" si="15"/>
        <v>-570.37762185320275</v>
      </c>
      <c r="K66" s="10">
        <f t="shared" si="16"/>
        <v>126221.0362633739</v>
      </c>
      <c r="L66" s="11">
        <f t="shared" si="20"/>
        <v>-527.48356858205545</v>
      </c>
      <c r="M66" s="11"/>
      <c r="N66" s="11">
        <f t="shared" si="21"/>
        <v>-938.46868272000006</v>
      </c>
      <c r="O66" s="11">
        <f t="shared" si="23"/>
        <v>938.46868272000006</v>
      </c>
      <c r="P66" s="11">
        <f t="shared" si="22"/>
        <v>863.39118810240006</v>
      </c>
      <c r="Q66" s="12">
        <f t="shared" si="4"/>
        <v>-551.44853704592583</v>
      </c>
      <c r="R66" s="10">
        <f t="shared" si="17"/>
        <v>-129541.37025059765</v>
      </c>
      <c r="S66" s="13">
        <f t="shared" si="5"/>
        <v>278326.42037109367</v>
      </c>
      <c r="T66" s="10">
        <f t="shared" si="18"/>
        <v>126221.0362633739</v>
      </c>
      <c r="U66" s="10">
        <f t="shared" si="19"/>
        <v>22564.013857122103</v>
      </c>
    </row>
    <row r="67" spans="3:21" x14ac:dyDescent="0.25">
      <c r="C67" s="3"/>
      <c r="F67" s="2">
        <f t="shared" si="11"/>
        <v>6</v>
      </c>
      <c r="G67" s="2">
        <f t="shared" si="12"/>
        <v>5</v>
      </c>
      <c r="H67" s="10">
        <f t="shared" ref="H67:H122" si="24">-$C$14</f>
        <v>-887.35615656627056</v>
      </c>
      <c r="I67" s="11">
        <f t="shared" si="14"/>
        <v>-315.55259065843478</v>
      </c>
      <c r="J67" s="10">
        <f t="shared" si="15"/>
        <v>-571.80356590783572</v>
      </c>
      <c r="K67" s="10">
        <f t="shared" si="16"/>
        <v>125649.23269746607</v>
      </c>
      <c r="L67" s="11">
        <f t="shared" si="20"/>
        <v>-527.48356858205545</v>
      </c>
      <c r="M67" s="11"/>
      <c r="N67" s="11">
        <f t="shared" si="21"/>
        <v>-938.46868272000006</v>
      </c>
      <c r="O67" s="11">
        <f t="shared" si="23"/>
        <v>938.46868272000006</v>
      </c>
      <c r="P67" s="11">
        <f t="shared" si="22"/>
        <v>863.39118810240006</v>
      </c>
      <c r="Q67" s="12">
        <f t="shared" si="4"/>
        <v>-551.44853704592583</v>
      </c>
      <c r="R67" s="10">
        <f t="shared" si="17"/>
        <v>-130092.81878764358</v>
      </c>
      <c r="S67" s="13">
        <f t="shared" si="5"/>
        <v>278326.42037109367</v>
      </c>
      <c r="T67" s="10">
        <f t="shared" si="18"/>
        <v>125649.23269746607</v>
      </c>
      <c r="U67" s="10">
        <f t="shared" si="19"/>
        <v>22584.368885984019</v>
      </c>
    </row>
    <row r="68" spans="3:21" x14ac:dyDescent="0.25">
      <c r="F68" s="2">
        <f t="shared" si="11"/>
        <v>6</v>
      </c>
      <c r="G68" s="2">
        <f t="shared" si="12"/>
        <v>6</v>
      </c>
      <c r="H68" s="10">
        <f t="shared" si="24"/>
        <v>-887.35615656627056</v>
      </c>
      <c r="I68" s="11">
        <f t="shared" si="14"/>
        <v>-314.12308174366518</v>
      </c>
      <c r="J68" s="10">
        <f t="shared" si="15"/>
        <v>-573.23307482260543</v>
      </c>
      <c r="K68" s="10">
        <f t="shared" si="16"/>
        <v>125075.99962264346</v>
      </c>
      <c r="L68" s="11">
        <f t="shared" si="20"/>
        <v>-527.48356858205545</v>
      </c>
      <c r="M68" s="11"/>
      <c r="N68" s="11">
        <f t="shared" si="21"/>
        <v>-938.46868272000006</v>
      </c>
      <c r="O68" s="11">
        <f t="shared" si="23"/>
        <v>938.46868272000006</v>
      </c>
      <c r="P68" s="11">
        <f t="shared" si="22"/>
        <v>863.39118810240006</v>
      </c>
      <c r="Q68" s="12">
        <f t="shared" ref="Q68:Q121" si="25">L68+H68+N68+O68+P68</f>
        <v>-551.44853704592583</v>
      </c>
      <c r="R68" s="10">
        <f t="shared" si="17"/>
        <v>-130644.26732468951</v>
      </c>
      <c r="S68" s="13">
        <f t="shared" ref="S68:S122" si="26">$C$4*(1+$C$21)^($F68)</f>
        <v>278326.42037109367</v>
      </c>
      <c r="T68" s="10">
        <f t="shared" si="18"/>
        <v>125075.99962264346</v>
      </c>
      <c r="U68" s="10">
        <f t="shared" si="19"/>
        <v>22606.153423760697</v>
      </c>
    </row>
    <row r="69" spans="3:21" x14ac:dyDescent="0.25">
      <c r="F69" s="2">
        <f t="shared" si="11"/>
        <v>6</v>
      </c>
      <c r="G69" s="2">
        <f t="shared" si="12"/>
        <v>7</v>
      </c>
      <c r="H69" s="10">
        <f t="shared" si="24"/>
        <v>-887.35615656627056</v>
      </c>
      <c r="I69" s="11">
        <f t="shared" si="14"/>
        <v>-312.68999905660866</v>
      </c>
      <c r="J69" s="10">
        <f t="shared" si="15"/>
        <v>-574.66615750966184</v>
      </c>
      <c r="K69" s="10">
        <f t="shared" si="16"/>
        <v>124501.33346513379</v>
      </c>
      <c r="L69" s="11">
        <f t="shared" si="20"/>
        <v>-527.48356858205545</v>
      </c>
      <c r="M69" s="11"/>
      <c r="N69" s="11">
        <f t="shared" si="21"/>
        <v>-938.46868272000006</v>
      </c>
      <c r="O69" s="11">
        <f t="shared" si="23"/>
        <v>938.46868272000006</v>
      </c>
      <c r="P69" s="11">
        <f t="shared" si="22"/>
        <v>863.39118810240006</v>
      </c>
      <c r="Q69" s="12">
        <f t="shared" si="25"/>
        <v>-551.44853704592583</v>
      </c>
      <c r="R69" s="10">
        <f t="shared" si="17"/>
        <v>-131195.71586173543</v>
      </c>
      <c r="S69" s="13">
        <f t="shared" si="26"/>
        <v>278326.42037109367</v>
      </c>
      <c r="T69" s="10">
        <f t="shared" si="18"/>
        <v>124501.33346513379</v>
      </c>
      <c r="U69" s="10">
        <f t="shared" si="19"/>
        <v>22629.371044224448</v>
      </c>
    </row>
    <row r="70" spans="3:21" x14ac:dyDescent="0.25">
      <c r="F70" s="2">
        <f t="shared" si="11"/>
        <v>6</v>
      </c>
      <c r="G70" s="2">
        <f t="shared" si="12"/>
        <v>8</v>
      </c>
      <c r="H70" s="10">
        <f t="shared" si="24"/>
        <v>-887.35615656627056</v>
      </c>
      <c r="I70" s="11">
        <f t="shared" si="14"/>
        <v>-311.25333366283451</v>
      </c>
      <c r="J70" s="10">
        <f t="shared" si="15"/>
        <v>-576.10282290343605</v>
      </c>
      <c r="K70" s="10">
        <f t="shared" si="16"/>
        <v>123925.23064223035</v>
      </c>
      <c r="L70" s="11">
        <f t="shared" si="20"/>
        <v>-527.48356858205545</v>
      </c>
      <c r="M70" s="11"/>
      <c r="N70" s="11">
        <f t="shared" si="21"/>
        <v>-938.46868272000006</v>
      </c>
      <c r="O70" s="11">
        <f t="shared" si="23"/>
        <v>938.46868272000006</v>
      </c>
      <c r="P70" s="11">
        <f t="shared" si="22"/>
        <v>863.39118810240006</v>
      </c>
      <c r="Q70" s="12">
        <f t="shared" si="25"/>
        <v>-551.44853704592583</v>
      </c>
      <c r="R70" s="10">
        <f t="shared" si="17"/>
        <v>-131747.16439878134</v>
      </c>
      <c r="S70" s="13">
        <f t="shared" si="26"/>
        <v>278326.42037109367</v>
      </c>
      <c r="T70" s="10">
        <f t="shared" si="18"/>
        <v>123925.23064223035</v>
      </c>
      <c r="U70" s="10">
        <f t="shared" si="19"/>
        <v>22654.02533008196</v>
      </c>
    </row>
    <row r="71" spans="3:21" x14ac:dyDescent="0.25">
      <c r="F71" s="2">
        <f t="shared" si="11"/>
        <v>6</v>
      </c>
      <c r="G71" s="2">
        <f t="shared" si="12"/>
        <v>9</v>
      </c>
      <c r="H71" s="10">
        <f t="shared" si="24"/>
        <v>-887.35615656627056</v>
      </c>
      <c r="I71" s="11">
        <f t="shared" si="14"/>
        <v>-309.81307660557587</v>
      </c>
      <c r="J71" s="10">
        <f t="shared" si="15"/>
        <v>-577.54307996069474</v>
      </c>
      <c r="K71" s="10">
        <f t="shared" si="16"/>
        <v>123347.68756226965</v>
      </c>
      <c r="L71" s="11">
        <f t="shared" si="20"/>
        <v>-527.48356858205545</v>
      </c>
      <c r="M71" s="11"/>
      <c r="N71" s="11">
        <f t="shared" si="21"/>
        <v>-938.46868272000006</v>
      </c>
      <c r="O71" s="11">
        <f t="shared" si="23"/>
        <v>938.46868272000006</v>
      </c>
      <c r="P71" s="11">
        <f t="shared" si="22"/>
        <v>863.39118810240006</v>
      </c>
      <c r="Q71" s="12">
        <f t="shared" si="25"/>
        <v>-551.44853704592583</v>
      </c>
      <c r="R71" s="10">
        <f t="shared" si="17"/>
        <v>-132298.61293582726</v>
      </c>
      <c r="S71" s="13">
        <f t="shared" si="26"/>
        <v>278326.42037109367</v>
      </c>
      <c r="T71" s="10">
        <f t="shared" si="18"/>
        <v>123347.68756226965</v>
      </c>
      <c r="U71" s="10">
        <f t="shared" si="19"/>
        <v>22680.119872996758</v>
      </c>
    </row>
    <row r="72" spans="3:21" x14ac:dyDescent="0.25">
      <c r="F72" s="2">
        <f t="shared" si="11"/>
        <v>6</v>
      </c>
      <c r="G72" s="2">
        <f t="shared" si="12"/>
        <v>10</v>
      </c>
      <c r="H72" s="10">
        <f t="shared" si="24"/>
        <v>-887.35615656627056</v>
      </c>
      <c r="I72" s="11">
        <f t="shared" si="14"/>
        <v>-308.36921890567413</v>
      </c>
      <c r="J72" s="10">
        <f t="shared" si="15"/>
        <v>-578.98693766059637</v>
      </c>
      <c r="K72" s="10">
        <f t="shared" si="16"/>
        <v>122768.70062460906</v>
      </c>
      <c r="L72" s="11">
        <f t="shared" si="20"/>
        <v>-527.48356858205545</v>
      </c>
      <c r="M72" s="11"/>
      <c r="N72" s="11">
        <f t="shared" si="21"/>
        <v>-938.46868272000006</v>
      </c>
      <c r="O72" s="11">
        <f t="shared" si="23"/>
        <v>938.46868272000006</v>
      </c>
      <c r="P72" s="11">
        <f t="shared" si="22"/>
        <v>863.39118810240006</v>
      </c>
      <c r="Q72" s="12">
        <f t="shared" si="25"/>
        <v>-551.44853704592583</v>
      </c>
      <c r="R72" s="10">
        <f t="shared" si="17"/>
        <v>-132850.06147287317</v>
      </c>
      <c r="S72" s="13">
        <f t="shared" si="26"/>
        <v>278326.42037109367</v>
      </c>
      <c r="T72" s="10">
        <f t="shared" si="18"/>
        <v>122768.70062460906</v>
      </c>
      <c r="U72" s="10">
        <f t="shared" si="19"/>
        <v>22707.658273611421</v>
      </c>
    </row>
    <row r="73" spans="3:21" x14ac:dyDescent="0.25">
      <c r="F73" s="2">
        <f t="shared" si="11"/>
        <v>6</v>
      </c>
      <c r="G73" s="2">
        <f t="shared" si="12"/>
        <v>11</v>
      </c>
      <c r="H73" s="10">
        <f t="shared" si="24"/>
        <v>-887.35615656627056</v>
      </c>
      <c r="I73" s="11">
        <f t="shared" si="14"/>
        <v>-306.92175156152268</v>
      </c>
      <c r="J73" s="10">
        <f t="shared" si="15"/>
        <v>-580.43440500474787</v>
      </c>
      <c r="K73" s="10">
        <f t="shared" si="16"/>
        <v>122188.26621960431</v>
      </c>
      <c r="L73" s="11">
        <f t="shared" si="20"/>
        <v>-527.48356858205545</v>
      </c>
      <c r="M73" s="11"/>
      <c r="N73" s="11">
        <f t="shared" si="21"/>
        <v>-938.46868272000006</v>
      </c>
      <c r="O73" s="11">
        <f t="shared" si="23"/>
        <v>938.46868272000006</v>
      </c>
      <c r="P73" s="11">
        <f t="shared" si="22"/>
        <v>863.39118810240006</v>
      </c>
      <c r="Q73" s="12">
        <f t="shared" si="25"/>
        <v>-551.44853704592583</v>
      </c>
      <c r="R73" s="10">
        <f t="shared" si="17"/>
        <v>-133401.51000991909</v>
      </c>
      <c r="S73" s="13">
        <f t="shared" si="26"/>
        <v>278326.42037109367</v>
      </c>
      <c r="T73" s="10">
        <f t="shared" si="18"/>
        <v>122188.26621960431</v>
      </c>
      <c r="U73" s="10">
        <f t="shared" si="19"/>
        <v>22736.644141570287</v>
      </c>
    </row>
    <row r="74" spans="3:21" x14ac:dyDescent="0.25">
      <c r="F74" s="2">
        <f t="shared" si="11"/>
        <v>6</v>
      </c>
      <c r="G74" s="2">
        <f t="shared" si="12"/>
        <v>12</v>
      </c>
      <c r="H74" s="10">
        <f t="shared" si="24"/>
        <v>-887.35615656627056</v>
      </c>
      <c r="I74" s="11">
        <f t="shared" si="14"/>
        <v>-305.47066554901079</v>
      </c>
      <c r="J74" s="10">
        <f t="shared" si="15"/>
        <v>-581.88549101725971</v>
      </c>
      <c r="K74" s="10">
        <f t="shared" si="16"/>
        <v>121606.38072858704</v>
      </c>
      <c r="L74" s="11">
        <f t="shared" si="20"/>
        <v>-527.48356858205545</v>
      </c>
      <c r="M74" s="11"/>
      <c r="N74" s="11">
        <f t="shared" si="21"/>
        <v>-938.46868272000006</v>
      </c>
      <c r="O74" s="11">
        <f t="shared" si="23"/>
        <v>938.46868272000006</v>
      </c>
      <c r="P74" s="11">
        <f t="shared" si="22"/>
        <v>863.39118810240006</v>
      </c>
      <c r="Q74" s="12">
        <f t="shared" si="25"/>
        <v>-551.44853704592583</v>
      </c>
      <c r="R74" s="10">
        <f t="shared" si="17"/>
        <v>-133952.958546965</v>
      </c>
      <c r="S74" s="13">
        <f t="shared" si="26"/>
        <v>278326.42037109367</v>
      </c>
      <c r="T74" s="10">
        <f t="shared" si="18"/>
        <v>121606.38072858704</v>
      </c>
      <c r="U74" s="10">
        <f t="shared" si="19"/>
        <v>22767.081095541624</v>
      </c>
    </row>
    <row r="75" spans="3:21" x14ac:dyDescent="0.25">
      <c r="F75" s="2">
        <f t="shared" si="11"/>
        <v>7</v>
      </c>
      <c r="G75" s="2">
        <f t="shared" si="12"/>
        <v>1</v>
      </c>
      <c r="H75" s="10">
        <f t="shared" si="24"/>
        <v>-887.35615656627056</v>
      </c>
      <c r="I75" s="11">
        <f t="shared" si="14"/>
        <v>-304.01595182146764</v>
      </c>
      <c r="J75" s="10">
        <f t="shared" si="15"/>
        <v>-583.34020474480292</v>
      </c>
      <c r="K75" s="10">
        <f t="shared" si="16"/>
        <v>121023.04052384224</v>
      </c>
      <c r="L75" s="11">
        <f t="shared" si="20"/>
        <v>-536.52626670524273</v>
      </c>
      <c r="M75" s="11"/>
      <c r="N75" s="11">
        <f t="shared" si="21"/>
        <v>-957.2380563744</v>
      </c>
      <c r="O75" s="11">
        <f t="shared" si="23"/>
        <v>957.2380563744</v>
      </c>
      <c r="P75" s="11">
        <f t="shared" si="22"/>
        <v>880.65901186444808</v>
      </c>
      <c r="Q75" s="12">
        <f t="shared" si="25"/>
        <v>-543.22341140706521</v>
      </c>
      <c r="R75" s="10">
        <f t="shared" si="17"/>
        <v>-134496.18195837206</v>
      </c>
      <c r="S75" s="13">
        <f t="shared" si="26"/>
        <v>285284.58088037098</v>
      </c>
      <c r="T75" s="10">
        <f t="shared" si="18"/>
        <v>121023.04052384224</v>
      </c>
      <c r="U75" s="10">
        <f t="shared" si="19"/>
        <v>29765.358398156677</v>
      </c>
    </row>
    <row r="76" spans="3:21" x14ac:dyDescent="0.25">
      <c r="F76" s="2">
        <f t="shared" si="11"/>
        <v>7</v>
      </c>
      <c r="G76" s="2">
        <f t="shared" si="12"/>
        <v>2</v>
      </c>
      <c r="H76" s="10">
        <f t="shared" si="24"/>
        <v>-887.35615656627056</v>
      </c>
      <c r="I76" s="11">
        <f t="shared" si="14"/>
        <v>-302.55760130960562</v>
      </c>
      <c r="J76" s="10">
        <f t="shared" si="15"/>
        <v>-584.79855525666494</v>
      </c>
      <c r="K76" s="10">
        <f t="shared" si="16"/>
        <v>120438.24196858557</v>
      </c>
      <c r="L76" s="11">
        <f t="shared" si="20"/>
        <v>-536.52626670524273</v>
      </c>
      <c r="M76" s="11"/>
      <c r="N76" s="11">
        <f t="shared" si="21"/>
        <v>-957.2380563744</v>
      </c>
      <c r="O76" s="11">
        <f t="shared" si="23"/>
        <v>957.2380563744</v>
      </c>
      <c r="P76" s="11">
        <f t="shared" si="22"/>
        <v>880.65901186444808</v>
      </c>
      <c r="Q76" s="12">
        <f t="shared" si="25"/>
        <v>-543.22341140706521</v>
      </c>
      <c r="R76" s="10">
        <f t="shared" si="17"/>
        <v>-135039.40536977912</v>
      </c>
      <c r="S76" s="13">
        <f t="shared" si="26"/>
        <v>285284.58088037098</v>
      </c>
      <c r="T76" s="10">
        <f t="shared" si="18"/>
        <v>120438.24196858557</v>
      </c>
      <c r="U76" s="10">
        <f t="shared" si="19"/>
        <v>29806.933542006271</v>
      </c>
    </row>
    <row r="77" spans="3:21" x14ac:dyDescent="0.25">
      <c r="F77" s="2">
        <f t="shared" si="11"/>
        <v>7</v>
      </c>
      <c r="G77" s="2">
        <f t="shared" si="12"/>
        <v>3</v>
      </c>
      <c r="H77" s="10">
        <f t="shared" si="24"/>
        <v>-887.35615656627056</v>
      </c>
      <c r="I77" s="11">
        <f t="shared" si="14"/>
        <v>-301.09560492146392</v>
      </c>
      <c r="J77" s="10">
        <f t="shared" si="15"/>
        <v>-586.26055164480658</v>
      </c>
      <c r="K77" s="10">
        <f t="shared" si="16"/>
        <v>119851.98141694076</v>
      </c>
      <c r="L77" s="11">
        <f t="shared" si="20"/>
        <v>-536.52626670524273</v>
      </c>
      <c r="M77" s="11"/>
      <c r="N77" s="11">
        <f t="shared" si="21"/>
        <v>-957.2380563744</v>
      </c>
      <c r="O77" s="11">
        <f t="shared" si="23"/>
        <v>957.2380563744</v>
      </c>
      <c r="P77" s="11">
        <f t="shared" si="22"/>
        <v>880.65901186444808</v>
      </c>
      <c r="Q77" s="12">
        <f t="shared" si="25"/>
        <v>-543.22341140706521</v>
      </c>
      <c r="R77" s="10">
        <f t="shared" si="17"/>
        <v>-135582.62878118618</v>
      </c>
      <c r="S77" s="13">
        <f t="shared" si="26"/>
        <v>285284.58088037098</v>
      </c>
      <c r="T77" s="10">
        <f t="shared" si="18"/>
        <v>119851.98141694076</v>
      </c>
      <c r="U77" s="10">
        <f t="shared" si="19"/>
        <v>29849.970682244049</v>
      </c>
    </row>
    <row r="78" spans="3:21" x14ac:dyDescent="0.25">
      <c r="F78" s="2">
        <f t="shared" si="11"/>
        <v>7</v>
      </c>
      <c r="G78" s="2">
        <f t="shared" si="12"/>
        <v>4</v>
      </c>
      <c r="H78" s="10">
        <f t="shared" si="24"/>
        <v>-887.35615656627056</v>
      </c>
      <c r="I78" s="11">
        <f t="shared" si="14"/>
        <v>-299.62995354235193</v>
      </c>
      <c r="J78" s="10">
        <f t="shared" si="15"/>
        <v>-587.72620302391863</v>
      </c>
      <c r="K78" s="10">
        <f t="shared" si="16"/>
        <v>119264.25521391684</v>
      </c>
      <c r="L78" s="11">
        <f t="shared" si="20"/>
        <v>-536.52626670524273</v>
      </c>
      <c r="M78" s="11"/>
      <c r="N78" s="11">
        <f t="shared" si="21"/>
        <v>-957.2380563744</v>
      </c>
      <c r="O78" s="11">
        <f t="shared" si="23"/>
        <v>957.2380563744</v>
      </c>
      <c r="P78" s="11">
        <f t="shared" si="22"/>
        <v>880.65901186444808</v>
      </c>
      <c r="Q78" s="12">
        <f t="shared" si="25"/>
        <v>-543.22341140706521</v>
      </c>
      <c r="R78" s="10">
        <f t="shared" si="17"/>
        <v>-136125.85219259324</v>
      </c>
      <c r="S78" s="13">
        <f t="shared" si="26"/>
        <v>285284.58088037098</v>
      </c>
      <c r="T78" s="10">
        <f t="shared" si="18"/>
        <v>119264.25521391684</v>
      </c>
      <c r="U78" s="10">
        <f t="shared" si="19"/>
        <v>29894.473473860911</v>
      </c>
    </row>
    <row r="79" spans="3:21" x14ac:dyDescent="0.25">
      <c r="F79" s="2">
        <f t="shared" si="11"/>
        <v>7</v>
      </c>
      <c r="G79" s="2">
        <f t="shared" si="12"/>
        <v>5</v>
      </c>
      <c r="H79" s="10">
        <f t="shared" si="24"/>
        <v>-887.35615656627056</v>
      </c>
      <c r="I79" s="11">
        <f t="shared" si="14"/>
        <v>-298.1606380347921</v>
      </c>
      <c r="J79" s="10">
        <f t="shared" si="15"/>
        <v>-589.19551853147846</v>
      </c>
      <c r="K79" s="10">
        <f t="shared" si="16"/>
        <v>118675.05969538537</v>
      </c>
      <c r="L79" s="11">
        <f t="shared" si="20"/>
        <v>-536.52626670524273</v>
      </c>
      <c r="M79" s="11"/>
      <c r="N79" s="11">
        <f t="shared" si="21"/>
        <v>-957.2380563744</v>
      </c>
      <c r="O79" s="11">
        <f t="shared" si="23"/>
        <v>957.2380563744</v>
      </c>
      <c r="P79" s="11">
        <f t="shared" si="22"/>
        <v>880.65901186444808</v>
      </c>
      <c r="Q79" s="12">
        <f t="shared" si="25"/>
        <v>-543.22341140706521</v>
      </c>
      <c r="R79" s="10">
        <f t="shared" si="17"/>
        <v>-136669.0756040003</v>
      </c>
      <c r="S79" s="13">
        <f t="shared" si="26"/>
        <v>285284.58088037098</v>
      </c>
      <c r="T79" s="10">
        <f t="shared" si="18"/>
        <v>118675.05969538537</v>
      </c>
      <c r="U79" s="10">
        <f t="shared" si="19"/>
        <v>29940.44558098531</v>
      </c>
    </row>
    <row r="80" spans="3:21" x14ac:dyDescent="0.25">
      <c r="F80" s="2">
        <f t="shared" si="11"/>
        <v>7</v>
      </c>
      <c r="G80" s="2">
        <f t="shared" si="12"/>
        <v>6</v>
      </c>
      <c r="H80" s="10">
        <f t="shared" si="24"/>
        <v>-887.35615656627056</v>
      </c>
      <c r="I80" s="11">
        <f t="shared" si="14"/>
        <v>-296.68764923846345</v>
      </c>
      <c r="J80" s="10">
        <f t="shared" si="15"/>
        <v>-590.66850732780711</v>
      </c>
      <c r="K80" s="10">
        <f t="shared" si="16"/>
        <v>118084.39118805756</v>
      </c>
      <c r="L80" s="11">
        <f t="shared" si="20"/>
        <v>-536.52626670524273</v>
      </c>
      <c r="M80" s="11"/>
      <c r="N80" s="11">
        <f t="shared" si="21"/>
        <v>-957.2380563744</v>
      </c>
      <c r="O80" s="11">
        <f t="shared" si="23"/>
        <v>957.2380563744</v>
      </c>
      <c r="P80" s="11">
        <f t="shared" si="22"/>
        <v>880.65901186444808</v>
      </c>
      <c r="Q80" s="12">
        <f t="shared" si="25"/>
        <v>-543.22341140706521</v>
      </c>
      <c r="R80" s="10">
        <f t="shared" si="17"/>
        <v>-137212.29901540736</v>
      </c>
      <c r="S80" s="13">
        <f t="shared" si="26"/>
        <v>285284.58088037098</v>
      </c>
      <c r="T80" s="10">
        <f t="shared" si="18"/>
        <v>118084.39118805756</v>
      </c>
      <c r="U80" s="10">
        <f t="shared" si="19"/>
        <v>29987.89067690607</v>
      </c>
    </row>
    <row r="81" spans="6:21" x14ac:dyDescent="0.25">
      <c r="F81" s="2">
        <f t="shared" ref="F81:F122" si="27">F69+1</f>
        <v>7</v>
      </c>
      <c r="G81" s="2">
        <f t="shared" ref="G81:G122" si="28">G69</f>
        <v>7</v>
      </c>
      <c r="H81" s="10">
        <f t="shared" si="24"/>
        <v>-887.35615656627056</v>
      </c>
      <c r="I81" s="11">
        <f t="shared" si="14"/>
        <v>-295.21097797014392</v>
      </c>
      <c r="J81" s="10">
        <f t="shared" si="15"/>
        <v>-592.1451785961267</v>
      </c>
      <c r="K81" s="10">
        <f t="shared" si="16"/>
        <v>117492.24600946144</v>
      </c>
      <c r="L81" s="11">
        <f t="shared" si="20"/>
        <v>-536.52626670524273</v>
      </c>
      <c r="M81" s="11"/>
      <c r="N81" s="11">
        <f t="shared" si="21"/>
        <v>-957.2380563744</v>
      </c>
      <c r="O81" s="11">
        <f t="shared" si="23"/>
        <v>957.2380563744</v>
      </c>
      <c r="P81" s="11">
        <f t="shared" si="22"/>
        <v>880.65901186444808</v>
      </c>
      <c r="Q81" s="12">
        <f t="shared" si="25"/>
        <v>-543.22341140706521</v>
      </c>
      <c r="R81" s="10">
        <f t="shared" si="17"/>
        <v>-137755.52242681442</v>
      </c>
      <c r="S81" s="13">
        <f t="shared" si="26"/>
        <v>285284.58088037098</v>
      </c>
      <c r="T81" s="10">
        <f t="shared" si="18"/>
        <v>117492.24600946144</v>
      </c>
      <c r="U81" s="10">
        <f t="shared" si="19"/>
        <v>30036.812444095121</v>
      </c>
    </row>
    <row r="82" spans="6:21" x14ac:dyDescent="0.25">
      <c r="F82" s="2">
        <f t="shared" si="27"/>
        <v>7</v>
      </c>
      <c r="G82" s="2">
        <f t="shared" si="28"/>
        <v>8</v>
      </c>
      <c r="H82" s="10">
        <f t="shared" si="24"/>
        <v>-887.35615656627056</v>
      </c>
      <c r="I82" s="11">
        <f t="shared" si="14"/>
        <v>-293.73061502365357</v>
      </c>
      <c r="J82" s="10">
        <f t="shared" si="15"/>
        <v>-593.62554154261693</v>
      </c>
      <c r="K82" s="10">
        <f t="shared" si="16"/>
        <v>116898.62046791882</v>
      </c>
      <c r="L82" s="11">
        <f t="shared" si="20"/>
        <v>-536.52626670524273</v>
      </c>
      <c r="M82" s="11"/>
      <c r="N82" s="11">
        <f t="shared" si="21"/>
        <v>-957.2380563744</v>
      </c>
      <c r="O82" s="11">
        <f t="shared" si="23"/>
        <v>957.2380563744</v>
      </c>
      <c r="P82" s="11">
        <f t="shared" si="22"/>
        <v>880.65901186444808</v>
      </c>
      <c r="Q82" s="12">
        <f t="shared" si="25"/>
        <v>-543.22341140706521</v>
      </c>
      <c r="R82" s="10">
        <f t="shared" si="17"/>
        <v>-138298.74583822148</v>
      </c>
      <c r="S82" s="13">
        <f t="shared" si="26"/>
        <v>285284.58088037098</v>
      </c>
      <c r="T82" s="10">
        <f t="shared" si="18"/>
        <v>116898.62046791882</v>
      </c>
      <c r="U82" s="10">
        <f t="shared" si="19"/>
        <v>30087.214574230689</v>
      </c>
    </row>
    <row r="83" spans="6:21" x14ac:dyDescent="0.25">
      <c r="F83" s="2">
        <f t="shared" si="27"/>
        <v>7</v>
      </c>
      <c r="G83" s="2">
        <f t="shared" si="28"/>
        <v>9</v>
      </c>
      <c r="H83" s="10">
        <f t="shared" si="24"/>
        <v>-887.35615656627056</v>
      </c>
      <c r="I83" s="11">
        <f t="shared" si="14"/>
        <v>-292.24655116979704</v>
      </c>
      <c r="J83" s="10">
        <f t="shared" si="15"/>
        <v>-595.10960539647351</v>
      </c>
      <c r="K83" s="10">
        <f t="shared" si="16"/>
        <v>116303.51086252235</v>
      </c>
      <c r="L83" s="11">
        <f t="shared" si="20"/>
        <v>-536.52626670524273</v>
      </c>
      <c r="M83" s="11"/>
      <c r="N83" s="11">
        <f t="shared" si="21"/>
        <v>-957.2380563744</v>
      </c>
      <c r="O83" s="11">
        <f t="shared" si="23"/>
        <v>957.2380563744</v>
      </c>
      <c r="P83" s="11">
        <f t="shared" si="22"/>
        <v>880.65901186444808</v>
      </c>
      <c r="Q83" s="12">
        <f t="shared" si="25"/>
        <v>-543.22341140706521</v>
      </c>
      <c r="R83" s="10">
        <f t="shared" si="17"/>
        <v>-138841.96924962854</v>
      </c>
      <c r="S83" s="13">
        <f t="shared" si="26"/>
        <v>285284.58088037098</v>
      </c>
      <c r="T83" s="10">
        <f t="shared" si="18"/>
        <v>116303.51086252235</v>
      </c>
      <c r="U83" s="10">
        <f t="shared" si="19"/>
        <v>30139.100768220087</v>
      </c>
    </row>
    <row r="84" spans="6:21" x14ac:dyDescent="0.25">
      <c r="F84" s="2">
        <f t="shared" si="27"/>
        <v>7</v>
      </c>
      <c r="G84" s="2">
        <f t="shared" si="28"/>
        <v>10</v>
      </c>
      <c r="H84" s="10">
        <f t="shared" si="24"/>
        <v>-887.35615656627056</v>
      </c>
      <c r="I84" s="11">
        <f t="shared" si="14"/>
        <v>-290.75877715630588</v>
      </c>
      <c r="J84" s="10">
        <f t="shared" si="15"/>
        <v>-596.59737940996467</v>
      </c>
      <c r="K84" s="10">
        <f t="shared" si="16"/>
        <v>115706.91348311238</v>
      </c>
      <c r="L84" s="11">
        <f t="shared" si="20"/>
        <v>-536.52626670524273</v>
      </c>
      <c r="M84" s="11"/>
      <c r="N84" s="11">
        <f t="shared" si="21"/>
        <v>-957.2380563744</v>
      </c>
      <c r="O84" s="11">
        <f t="shared" si="23"/>
        <v>957.2380563744</v>
      </c>
      <c r="P84" s="11">
        <f t="shared" si="22"/>
        <v>880.65901186444808</v>
      </c>
      <c r="Q84" s="12">
        <f t="shared" si="25"/>
        <v>-543.22341140706521</v>
      </c>
      <c r="R84" s="10">
        <f t="shared" si="17"/>
        <v>-139385.1926610356</v>
      </c>
      <c r="S84" s="13">
        <f t="shared" si="26"/>
        <v>285284.58088037098</v>
      </c>
      <c r="T84" s="10">
        <f t="shared" si="18"/>
        <v>115706.91348311238</v>
      </c>
      <c r="U84" s="10">
        <f t="shared" si="19"/>
        <v>30192.474736222997</v>
      </c>
    </row>
    <row r="85" spans="6:21" x14ac:dyDescent="0.25">
      <c r="F85" s="2">
        <f t="shared" si="27"/>
        <v>7</v>
      </c>
      <c r="G85" s="2">
        <f t="shared" si="28"/>
        <v>11</v>
      </c>
      <c r="H85" s="10">
        <f t="shared" si="24"/>
        <v>-887.35615656627056</v>
      </c>
      <c r="I85" s="11">
        <f t="shared" si="14"/>
        <v>-289.26728370778096</v>
      </c>
      <c r="J85" s="10">
        <f t="shared" si="15"/>
        <v>-598.08887285848959</v>
      </c>
      <c r="K85" s="10">
        <f t="shared" si="16"/>
        <v>115108.8246102539</v>
      </c>
      <c r="L85" s="11">
        <f t="shared" si="20"/>
        <v>-536.52626670524273</v>
      </c>
      <c r="M85" s="11"/>
      <c r="N85" s="11">
        <f t="shared" si="21"/>
        <v>-957.2380563744</v>
      </c>
      <c r="O85" s="11">
        <f t="shared" si="23"/>
        <v>957.2380563744</v>
      </c>
      <c r="P85" s="11">
        <f t="shared" si="22"/>
        <v>880.65901186444808</v>
      </c>
      <c r="Q85" s="12">
        <f t="shared" si="25"/>
        <v>-543.22341140706521</v>
      </c>
      <c r="R85" s="10">
        <f t="shared" si="17"/>
        <v>-139928.41607244266</v>
      </c>
      <c r="S85" s="13">
        <f t="shared" si="26"/>
        <v>285284.58088037098</v>
      </c>
      <c r="T85" s="10">
        <f t="shared" si="18"/>
        <v>115108.8246102539</v>
      </c>
      <c r="U85" s="10">
        <f t="shared" si="19"/>
        <v>30247.340197674406</v>
      </c>
    </row>
    <row r="86" spans="6:21" x14ac:dyDescent="0.25">
      <c r="F86" s="2">
        <f t="shared" si="27"/>
        <v>7</v>
      </c>
      <c r="G86" s="2">
        <f t="shared" si="28"/>
        <v>12</v>
      </c>
      <c r="H86" s="10">
        <f t="shared" si="24"/>
        <v>-887.35615656627056</v>
      </c>
      <c r="I86" s="11">
        <f t="shared" si="14"/>
        <v>-287.77206152563474</v>
      </c>
      <c r="J86" s="10">
        <f t="shared" si="15"/>
        <v>-599.58409504063582</v>
      </c>
      <c r="K86" s="10">
        <f t="shared" si="16"/>
        <v>114509.24051521326</v>
      </c>
      <c r="L86" s="11">
        <f t="shared" si="20"/>
        <v>-536.52626670524273</v>
      </c>
      <c r="M86" s="11"/>
      <c r="N86" s="11">
        <f t="shared" si="21"/>
        <v>-957.2380563744</v>
      </c>
      <c r="O86" s="11">
        <f t="shared" si="23"/>
        <v>957.2380563744</v>
      </c>
      <c r="P86" s="11">
        <f t="shared" si="22"/>
        <v>880.65901186444808</v>
      </c>
      <c r="Q86" s="12">
        <f t="shared" si="25"/>
        <v>-543.22341140706521</v>
      </c>
      <c r="R86" s="10">
        <f t="shared" si="17"/>
        <v>-140471.63948384972</v>
      </c>
      <c r="S86" s="13">
        <f t="shared" si="26"/>
        <v>285284.58088037098</v>
      </c>
      <c r="T86" s="10">
        <f t="shared" si="18"/>
        <v>114509.24051521326</v>
      </c>
      <c r="U86" s="10">
        <f t="shared" si="19"/>
        <v>30303.700881308003</v>
      </c>
    </row>
    <row r="87" spans="6:21" x14ac:dyDescent="0.25">
      <c r="F87" s="2">
        <f t="shared" si="27"/>
        <v>8</v>
      </c>
      <c r="G87" s="2">
        <f t="shared" si="28"/>
        <v>1</v>
      </c>
      <c r="H87" s="10">
        <f t="shared" si="24"/>
        <v>-887.35615656627056</v>
      </c>
      <c r="I87" s="11">
        <f t="shared" si="14"/>
        <v>-286.27310128803316</v>
      </c>
      <c r="J87" s="10">
        <f t="shared" si="15"/>
        <v>-601.08305527823745</v>
      </c>
      <c r="K87" s="10">
        <f t="shared" si="16"/>
        <v>113908.15745993501</v>
      </c>
      <c r="L87" s="11">
        <f t="shared" si="20"/>
        <v>-545.77881112634907</v>
      </c>
      <c r="M87" s="11"/>
      <c r="N87" s="11">
        <f t="shared" si="21"/>
        <v>-976.38281750188787</v>
      </c>
      <c r="O87" s="11">
        <f t="shared" si="23"/>
        <v>976.38281750188787</v>
      </c>
      <c r="P87" s="11">
        <f t="shared" si="22"/>
        <v>898.27219210173689</v>
      </c>
      <c r="Q87" s="12">
        <f t="shared" si="25"/>
        <v>-534.86277559088285</v>
      </c>
      <c r="R87" s="10">
        <f t="shared" si="17"/>
        <v>-141006.5022594406</v>
      </c>
      <c r="S87" s="13">
        <f t="shared" si="26"/>
        <v>292416.69540238025</v>
      </c>
      <c r="T87" s="10">
        <f t="shared" si="18"/>
        <v>113908.15745993501</v>
      </c>
      <c r="U87" s="10">
        <f t="shared" si="19"/>
        <v>37502.035683004651</v>
      </c>
    </row>
    <row r="88" spans="6:21" x14ac:dyDescent="0.25">
      <c r="F88" s="2">
        <f t="shared" si="27"/>
        <v>8</v>
      </c>
      <c r="G88" s="2">
        <f t="shared" si="28"/>
        <v>2</v>
      </c>
      <c r="H88" s="10">
        <f t="shared" si="24"/>
        <v>-887.35615656627056</v>
      </c>
      <c r="I88" s="11">
        <f t="shared" si="14"/>
        <v>-284.77039364983756</v>
      </c>
      <c r="J88" s="10">
        <f t="shared" si="15"/>
        <v>-602.58576291643294</v>
      </c>
      <c r="K88" s="10">
        <f t="shared" si="16"/>
        <v>113305.57169701857</v>
      </c>
      <c r="L88" s="11">
        <f t="shared" si="20"/>
        <v>-545.77881112634907</v>
      </c>
      <c r="M88" s="11"/>
      <c r="N88" s="11">
        <f t="shared" si="21"/>
        <v>-976.38281750188787</v>
      </c>
      <c r="O88" s="11">
        <f t="shared" si="23"/>
        <v>976.38281750188787</v>
      </c>
      <c r="P88" s="11">
        <f t="shared" si="22"/>
        <v>898.27219210173689</v>
      </c>
      <c r="Q88" s="12">
        <f t="shared" si="25"/>
        <v>-534.86277559088285</v>
      </c>
      <c r="R88" s="10">
        <f t="shared" si="17"/>
        <v>-141541.36503503149</v>
      </c>
      <c r="S88" s="13">
        <f t="shared" si="26"/>
        <v>292416.69540238025</v>
      </c>
      <c r="T88" s="10">
        <f t="shared" si="18"/>
        <v>113305.57169701857</v>
      </c>
      <c r="U88" s="10">
        <f t="shared" si="19"/>
        <v>37569.758670330193</v>
      </c>
    </row>
    <row r="89" spans="6:21" x14ac:dyDescent="0.25">
      <c r="F89" s="2">
        <f t="shared" si="27"/>
        <v>8</v>
      </c>
      <c r="G89" s="2">
        <f t="shared" si="28"/>
        <v>3</v>
      </c>
      <c r="H89" s="10">
        <f t="shared" si="24"/>
        <v>-887.35615656627056</v>
      </c>
      <c r="I89" s="11">
        <f t="shared" si="14"/>
        <v>-283.26392924254645</v>
      </c>
      <c r="J89" s="10">
        <f t="shared" si="15"/>
        <v>-604.09222732372405</v>
      </c>
      <c r="K89" s="10">
        <f t="shared" si="16"/>
        <v>112701.47946969485</v>
      </c>
      <c r="L89" s="11">
        <f t="shared" si="20"/>
        <v>-545.77881112634907</v>
      </c>
      <c r="M89" s="11"/>
      <c r="N89" s="11">
        <f t="shared" si="21"/>
        <v>-976.38281750188787</v>
      </c>
      <c r="O89" s="11">
        <f t="shared" si="23"/>
        <v>976.38281750188787</v>
      </c>
      <c r="P89" s="11">
        <f t="shared" si="22"/>
        <v>898.27219210173689</v>
      </c>
      <c r="Q89" s="12">
        <f t="shared" si="25"/>
        <v>-534.86277559088285</v>
      </c>
      <c r="R89" s="10">
        <f t="shared" si="17"/>
        <v>-142076.22781062237</v>
      </c>
      <c r="S89" s="13">
        <f t="shared" si="26"/>
        <v>292416.69540238025</v>
      </c>
      <c r="T89" s="10">
        <f t="shared" si="18"/>
        <v>112701.47946969485</v>
      </c>
      <c r="U89" s="10">
        <f t="shared" si="19"/>
        <v>37638.988122063049</v>
      </c>
    </row>
    <row r="90" spans="6:21" x14ac:dyDescent="0.25">
      <c r="F90" s="2">
        <f t="shared" si="27"/>
        <v>8</v>
      </c>
      <c r="G90" s="2">
        <f t="shared" si="28"/>
        <v>4</v>
      </c>
      <c r="H90" s="10">
        <f t="shared" si="24"/>
        <v>-887.35615656627056</v>
      </c>
      <c r="I90" s="11">
        <f t="shared" si="14"/>
        <v>-281.75369867423711</v>
      </c>
      <c r="J90" s="10">
        <f t="shared" si="15"/>
        <v>-605.6024578920335</v>
      </c>
      <c r="K90" s="10">
        <f t="shared" si="16"/>
        <v>112095.87701180282</v>
      </c>
      <c r="L90" s="11">
        <f t="shared" si="20"/>
        <v>-545.77881112634907</v>
      </c>
      <c r="M90" s="11"/>
      <c r="N90" s="11">
        <f t="shared" si="21"/>
        <v>-976.38281750188787</v>
      </c>
      <c r="O90" s="11">
        <f t="shared" si="23"/>
        <v>976.38281750188787</v>
      </c>
      <c r="P90" s="11">
        <f t="shared" si="22"/>
        <v>898.27219210173689</v>
      </c>
      <c r="Q90" s="12">
        <f t="shared" si="25"/>
        <v>-534.86277559088285</v>
      </c>
      <c r="R90" s="10">
        <f t="shared" si="17"/>
        <v>-142611.09058621325</v>
      </c>
      <c r="S90" s="13">
        <f t="shared" si="26"/>
        <v>292416.69540238025</v>
      </c>
      <c r="T90" s="10">
        <f t="shared" si="18"/>
        <v>112095.87701180282</v>
      </c>
      <c r="U90" s="10">
        <f t="shared" si="19"/>
        <v>37709.7278043642</v>
      </c>
    </row>
    <row r="91" spans="6:21" x14ac:dyDescent="0.25">
      <c r="F91" s="2">
        <f t="shared" si="27"/>
        <v>8</v>
      </c>
      <c r="G91" s="2">
        <f t="shared" si="28"/>
        <v>5</v>
      </c>
      <c r="H91" s="10">
        <f t="shared" si="24"/>
        <v>-887.35615656627056</v>
      </c>
      <c r="I91" s="11">
        <f t="shared" si="14"/>
        <v>-280.23969252950707</v>
      </c>
      <c r="J91" s="10">
        <f t="shared" si="15"/>
        <v>-607.11646403676355</v>
      </c>
      <c r="K91" s="10">
        <f t="shared" si="16"/>
        <v>111488.76054776605</v>
      </c>
      <c r="L91" s="11">
        <f t="shared" si="20"/>
        <v>-545.77881112634907</v>
      </c>
      <c r="M91" s="11"/>
      <c r="N91" s="11">
        <f t="shared" si="21"/>
        <v>-976.38281750188787</v>
      </c>
      <c r="O91" s="11">
        <f t="shared" si="23"/>
        <v>976.38281750188787</v>
      </c>
      <c r="P91" s="11">
        <f t="shared" si="22"/>
        <v>898.27219210173689</v>
      </c>
      <c r="Q91" s="12">
        <f t="shared" si="25"/>
        <v>-534.86277559088285</v>
      </c>
      <c r="R91" s="10">
        <f t="shared" si="17"/>
        <v>-143145.95336180413</v>
      </c>
      <c r="S91" s="13">
        <f t="shared" si="26"/>
        <v>292416.69540238025</v>
      </c>
      <c r="T91" s="10">
        <f t="shared" si="18"/>
        <v>111488.76054776605</v>
      </c>
      <c r="U91" s="10">
        <f t="shared" si="19"/>
        <v>37781.981492810068</v>
      </c>
    </row>
    <row r="92" spans="6:21" x14ac:dyDescent="0.25">
      <c r="F92" s="2">
        <f t="shared" si="27"/>
        <v>8</v>
      </c>
      <c r="G92" s="2">
        <f t="shared" si="28"/>
        <v>6</v>
      </c>
      <c r="H92" s="10">
        <f t="shared" si="24"/>
        <v>-887.35615656627056</v>
      </c>
      <c r="I92" s="11">
        <f t="shared" si="14"/>
        <v>-278.72190136941515</v>
      </c>
      <c r="J92" s="10">
        <f t="shared" si="15"/>
        <v>-608.63425519685541</v>
      </c>
      <c r="K92" s="10">
        <f t="shared" si="16"/>
        <v>110880.1262925692</v>
      </c>
      <c r="L92" s="11">
        <f t="shared" si="20"/>
        <v>-545.77881112634907</v>
      </c>
      <c r="M92" s="11"/>
      <c r="N92" s="11">
        <f t="shared" si="21"/>
        <v>-976.38281750188787</v>
      </c>
      <c r="O92" s="11">
        <f t="shared" si="23"/>
        <v>976.38281750188787</v>
      </c>
      <c r="P92" s="11">
        <f t="shared" si="22"/>
        <v>898.27219210173689</v>
      </c>
      <c r="Q92" s="12">
        <f t="shared" si="25"/>
        <v>-534.86277559088285</v>
      </c>
      <c r="R92" s="10">
        <f t="shared" si="17"/>
        <v>-143680.81613739501</v>
      </c>
      <c r="S92" s="13">
        <f t="shared" si="26"/>
        <v>292416.69540238025</v>
      </c>
      <c r="T92" s="10">
        <f t="shared" si="18"/>
        <v>110880.1262925692</v>
      </c>
      <c r="U92" s="10">
        <f t="shared" si="19"/>
        <v>37855.752972416027</v>
      </c>
    </row>
    <row r="93" spans="6:21" x14ac:dyDescent="0.25">
      <c r="F93" s="2">
        <f t="shared" si="27"/>
        <v>8</v>
      </c>
      <c r="G93" s="2">
        <f t="shared" si="28"/>
        <v>7</v>
      </c>
      <c r="H93" s="10">
        <f t="shared" si="24"/>
        <v>-887.35615656627056</v>
      </c>
      <c r="I93" s="11">
        <f t="shared" si="14"/>
        <v>-277.20031573142302</v>
      </c>
      <c r="J93" s="10">
        <f t="shared" si="15"/>
        <v>-610.1558408348476</v>
      </c>
      <c r="K93" s="10">
        <f t="shared" si="16"/>
        <v>110269.97045173435</v>
      </c>
      <c r="L93" s="11">
        <f t="shared" si="20"/>
        <v>-545.77881112634907</v>
      </c>
      <c r="M93" s="11"/>
      <c r="N93" s="11">
        <f t="shared" si="21"/>
        <v>-976.38281750188787</v>
      </c>
      <c r="O93" s="11">
        <f t="shared" si="23"/>
        <v>976.38281750188787</v>
      </c>
      <c r="P93" s="11">
        <f t="shared" si="22"/>
        <v>898.27219210173689</v>
      </c>
      <c r="Q93" s="12">
        <f t="shared" si="25"/>
        <v>-534.86277559088285</v>
      </c>
      <c r="R93" s="10">
        <f t="shared" si="17"/>
        <v>-144215.6789129859</v>
      </c>
      <c r="S93" s="13">
        <f t="shared" si="26"/>
        <v>292416.69540238025</v>
      </c>
      <c r="T93" s="10">
        <f t="shared" si="18"/>
        <v>110269.97045173435</v>
      </c>
      <c r="U93" s="10">
        <f t="shared" si="19"/>
        <v>37931.046037660009</v>
      </c>
    </row>
    <row r="94" spans="6:21" x14ac:dyDescent="0.25">
      <c r="F94" s="2">
        <f t="shared" si="27"/>
        <v>8</v>
      </c>
      <c r="G94" s="2">
        <f t="shared" si="28"/>
        <v>8</v>
      </c>
      <c r="H94" s="10">
        <f t="shared" si="24"/>
        <v>-887.35615656627056</v>
      </c>
      <c r="I94" s="11">
        <f t="shared" si="14"/>
        <v>-275.67492612933586</v>
      </c>
      <c r="J94" s="10">
        <f t="shared" si="15"/>
        <v>-611.6812304369347</v>
      </c>
      <c r="K94" s="10">
        <f t="shared" si="16"/>
        <v>109658.28922129741</v>
      </c>
      <c r="L94" s="11">
        <f t="shared" si="20"/>
        <v>-545.77881112634907</v>
      </c>
      <c r="M94" s="11"/>
      <c r="N94" s="11">
        <f t="shared" si="21"/>
        <v>-976.38281750188787</v>
      </c>
      <c r="O94" s="11">
        <f t="shared" si="23"/>
        <v>976.38281750188787</v>
      </c>
      <c r="P94" s="11">
        <f t="shared" si="22"/>
        <v>898.27219210173689</v>
      </c>
      <c r="Q94" s="12">
        <f t="shared" si="25"/>
        <v>-534.86277559088285</v>
      </c>
      <c r="R94" s="10">
        <f t="shared" si="17"/>
        <v>-144750.54168857678</v>
      </c>
      <c r="S94" s="13">
        <f t="shared" si="26"/>
        <v>292416.69540238025</v>
      </c>
      <c r="T94" s="10">
        <f t="shared" si="18"/>
        <v>109658.28922129741</v>
      </c>
      <c r="U94" s="10">
        <f t="shared" si="19"/>
        <v>38007.864492506051</v>
      </c>
    </row>
    <row r="95" spans="6:21" x14ac:dyDescent="0.25">
      <c r="F95" s="2">
        <f t="shared" si="27"/>
        <v>8</v>
      </c>
      <c r="G95" s="2">
        <f t="shared" si="28"/>
        <v>9</v>
      </c>
      <c r="H95" s="10">
        <f t="shared" si="24"/>
        <v>-887.35615656627056</v>
      </c>
      <c r="I95" s="11">
        <f t="shared" si="14"/>
        <v>-274.14572305324356</v>
      </c>
      <c r="J95" s="10">
        <f t="shared" si="15"/>
        <v>-613.21043351302706</v>
      </c>
      <c r="K95" s="10">
        <f t="shared" si="16"/>
        <v>109045.07878778438</v>
      </c>
      <c r="L95" s="11">
        <f t="shared" si="20"/>
        <v>-545.77881112634907</v>
      </c>
      <c r="M95" s="11"/>
      <c r="N95" s="11">
        <f t="shared" si="21"/>
        <v>-976.38281750188787</v>
      </c>
      <c r="O95" s="11">
        <f t="shared" si="23"/>
        <v>976.38281750188787</v>
      </c>
      <c r="P95" s="11">
        <f t="shared" si="22"/>
        <v>898.27219210173689</v>
      </c>
      <c r="Q95" s="12">
        <f t="shared" si="25"/>
        <v>-534.86277559088285</v>
      </c>
      <c r="R95" s="10">
        <f t="shared" si="17"/>
        <v>-145285.40446416766</v>
      </c>
      <c r="S95" s="13">
        <f t="shared" si="26"/>
        <v>292416.69540238025</v>
      </c>
      <c r="T95" s="10">
        <f t="shared" si="18"/>
        <v>109045.07878778438</v>
      </c>
      <c r="U95" s="10">
        <f t="shared" si="19"/>
        <v>38086.212150428211</v>
      </c>
    </row>
    <row r="96" spans="6:21" x14ac:dyDescent="0.25">
      <c r="F96" s="2">
        <f t="shared" si="27"/>
        <v>8</v>
      </c>
      <c r="G96" s="2">
        <f t="shared" si="28"/>
        <v>10</v>
      </c>
      <c r="H96" s="10">
        <f t="shared" si="24"/>
        <v>-887.35615656627056</v>
      </c>
      <c r="I96" s="11">
        <f t="shared" si="14"/>
        <v>-272.61269696946096</v>
      </c>
      <c r="J96" s="10">
        <f t="shared" si="15"/>
        <v>-614.74345959680954</v>
      </c>
      <c r="K96" s="10">
        <f t="shared" si="16"/>
        <v>108430.33532818758</v>
      </c>
      <c r="L96" s="11">
        <f t="shared" si="20"/>
        <v>-545.77881112634907</v>
      </c>
      <c r="M96" s="11"/>
      <c r="N96" s="11">
        <f t="shared" si="21"/>
        <v>-976.38281750188787</v>
      </c>
      <c r="O96" s="11">
        <f t="shared" si="23"/>
        <v>976.38281750188787</v>
      </c>
      <c r="P96" s="11">
        <f t="shared" si="22"/>
        <v>898.27219210173689</v>
      </c>
      <c r="Q96" s="12">
        <f t="shared" si="25"/>
        <v>-534.86277559088285</v>
      </c>
      <c r="R96" s="10">
        <f t="shared" si="17"/>
        <v>-145820.26723975854</v>
      </c>
      <c r="S96" s="13">
        <f t="shared" si="26"/>
        <v>292416.69540238025</v>
      </c>
      <c r="T96" s="10">
        <f t="shared" si="18"/>
        <v>108430.33532818758</v>
      </c>
      <c r="U96" s="10">
        <f t="shared" si="19"/>
        <v>38166.092834434152</v>
      </c>
    </row>
    <row r="97" spans="6:21" x14ac:dyDescent="0.25">
      <c r="F97" s="2">
        <f t="shared" si="27"/>
        <v>8</v>
      </c>
      <c r="G97" s="2">
        <f t="shared" si="28"/>
        <v>11</v>
      </c>
      <c r="H97" s="10">
        <f t="shared" si="24"/>
        <v>-887.35615656627056</v>
      </c>
      <c r="I97" s="11">
        <f t="shared" si="14"/>
        <v>-271.07583832046896</v>
      </c>
      <c r="J97" s="10">
        <f t="shared" si="15"/>
        <v>-616.2803182458016</v>
      </c>
      <c r="K97" s="10">
        <f t="shared" si="16"/>
        <v>107814.05500994177</v>
      </c>
      <c r="L97" s="11">
        <f t="shared" si="20"/>
        <v>-545.77881112634907</v>
      </c>
      <c r="M97" s="11"/>
      <c r="N97" s="11">
        <f t="shared" si="21"/>
        <v>-976.38281750188787</v>
      </c>
      <c r="O97" s="11">
        <f t="shared" si="23"/>
        <v>976.38281750188787</v>
      </c>
      <c r="P97" s="11">
        <f t="shared" si="22"/>
        <v>898.27219210173689</v>
      </c>
      <c r="Q97" s="12">
        <f t="shared" si="25"/>
        <v>-534.86277559088285</v>
      </c>
      <c r="R97" s="10">
        <f t="shared" si="17"/>
        <v>-146355.13001534942</v>
      </c>
      <c r="S97" s="13">
        <f t="shared" si="26"/>
        <v>292416.69540238025</v>
      </c>
      <c r="T97" s="10">
        <f t="shared" si="18"/>
        <v>107814.05500994177</v>
      </c>
      <c r="U97" s="10">
        <f t="shared" si="19"/>
        <v>38247.510377089056</v>
      </c>
    </row>
    <row r="98" spans="6:21" x14ac:dyDescent="0.25">
      <c r="F98" s="2">
        <f t="shared" si="27"/>
        <v>8</v>
      </c>
      <c r="G98" s="2">
        <f t="shared" si="28"/>
        <v>12</v>
      </c>
      <c r="H98" s="10">
        <f t="shared" si="24"/>
        <v>-887.35615656627056</v>
      </c>
      <c r="I98" s="11">
        <f t="shared" si="14"/>
        <v>-269.53513752485446</v>
      </c>
      <c r="J98" s="10">
        <f t="shared" si="15"/>
        <v>-617.82101904141609</v>
      </c>
      <c r="K98" s="10">
        <f t="shared" si="16"/>
        <v>107196.23399090036</v>
      </c>
      <c r="L98" s="11">
        <f t="shared" si="20"/>
        <v>-545.77881112634907</v>
      </c>
      <c r="M98" s="11"/>
      <c r="N98" s="11">
        <f t="shared" si="21"/>
        <v>-976.38281750188787</v>
      </c>
      <c r="O98" s="11">
        <f t="shared" si="23"/>
        <v>976.38281750188787</v>
      </c>
      <c r="P98" s="11">
        <f t="shared" si="22"/>
        <v>898.27219210173689</v>
      </c>
      <c r="Q98" s="12">
        <f t="shared" si="25"/>
        <v>-534.86277559088285</v>
      </c>
      <c r="R98" s="10">
        <f t="shared" si="17"/>
        <v>-146889.9927909403</v>
      </c>
      <c r="S98" s="13">
        <f t="shared" si="26"/>
        <v>292416.69540238025</v>
      </c>
      <c r="T98" s="10">
        <f t="shared" si="18"/>
        <v>107196.23399090036</v>
      </c>
      <c r="U98" s="10">
        <f t="shared" si="19"/>
        <v>38330.468620539585</v>
      </c>
    </row>
    <row r="99" spans="6:21" x14ac:dyDescent="0.25">
      <c r="F99" s="2">
        <f t="shared" si="27"/>
        <v>9</v>
      </c>
      <c r="G99" s="2">
        <f t="shared" si="28"/>
        <v>1</v>
      </c>
      <c r="H99" s="10">
        <f t="shared" si="24"/>
        <v>-887.35615656627056</v>
      </c>
      <c r="I99" s="11">
        <f t="shared" si="14"/>
        <v>-267.99058497725093</v>
      </c>
      <c r="J99" s="10">
        <f t="shared" si="15"/>
        <v>-619.36557158901962</v>
      </c>
      <c r="K99" s="10">
        <f t="shared" si="16"/>
        <v>106576.86841931134</v>
      </c>
      <c r="L99" s="11">
        <f t="shared" si="20"/>
        <v>-555.24612357971932</v>
      </c>
      <c r="M99" s="11"/>
      <c r="N99" s="11">
        <f t="shared" si="21"/>
        <v>-995.91047385192564</v>
      </c>
      <c r="O99" s="11">
        <f t="shared" si="23"/>
        <v>995.91047385192564</v>
      </c>
      <c r="P99" s="11">
        <f t="shared" si="22"/>
        <v>916.23763594377158</v>
      </c>
      <c r="Q99" s="12">
        <f t="shared" si="25"/>
        <v>-526.36464420221853</v>
      </c>
      <c r="R99" s="10">
        <f t="shared" si="17"/>
        <v>-147416.35743514253</v>
      </c>
      <c r="S99" s="13">
        <f t="shared" si="26"/>
        <v>299727.11278743972</v>
      </c>
      <c r="T99" s="10">
        <f t="shared" si="18"/>
        <v>106576.86841931134</v>
      </c>
      <c r="U99" s="10">
        <f t="shared" si="19"/>
        <v>45733.886932985828</v>
      </c>
    </row>
    <row r="100" spans="6:21" x14ac:dyDescent="0.25">
      <c r="F100" s="2">
        <f t="shared" si="27"/>
        <v>9</v>
      </c>
      <c r="G100" s="2">
        <f t="shared" si="28"/>
        <v>2</v>
      </c>
      <c r="H100" s="10">
        <f t="shared" si="24"/>
        <v>-887.35615656627056</v>
      </c>
      <c r="I100" s="11">
        <f t="shared" si="14"/>
        <v>-266.44217104827834</v>
      </c>
      <c r="J100" s="10">
        <f t="shared" si="15"/>
        <v>-620.91398551799216</v>
      </c>
      <c r="K100" s="10">
        <f t="shared" si="16"/>
        <v>105955.95443379335</v>
      </c>
      <c r="L100" s="11">
        <f t="shared" si="20"/>
        <v>-555.24612357971932</v>
      </c>
      <c r="M100" s="11"/>
      <c r="N100" s="11">
        <f t="shared" si="21"/>
        <v>-995.91047385192564</v>
      </c>
      <c r="O100" s="11">
        <f t="shared" si="23"/>
        <v>995.91047385192564</v>
      </c>
      <c r="P100" s="11">
        <f t="shared" si="22"/>
        <v>916.23763594377158</v>
      </c>
      <c r="Q100" s="12">
        <f t="shared" si="25"/>
        <v>-526.36464420221853</v>
      </c>
      <c r="R100" s="10">
        <f t="shared" si="17"/>
        <v>-147942.72207934476</v>
      </c>
      <c r="S100" s="13">
        <f t="shared" si="26"/>
        <v>299727.11278743972</v>
      </c>
      <c r="T100" s="10">
        <f t="shared" si="18"/>
        <v>105955.95443379335</v>
      </c>
      <c r="U100" s="10">
        <f t="shared" si="19"/>
        <v>45828.43627430161</v>
      </c>
    </row>
    <row r="101" spans="6:21" x14ac:dyDescent="0.25">
      <c r="F101" s="2">
        <f t="shared" si="27"/>
        <v>9</v>
      </c>
      <c r="G101" s="2">
        <f t="shared" si="28"/>
        <v>3</v>
      </c>
      <c r="H101" s="10">
        <f t="shared" si="24"/>
        <v>-887.35615656627056</v>
      </c>
      <c r="I101" s="11">
        <f t="shared" si="14"/>
        <v>-264.88988608448335</v>
      </c>
      <c r="J101" s="10">
        <f t="shared" si="15"/>
        <v>-622.46627048178721</v>
      </c>
      <c r="K101" s="10">
        <f t="shared" si="16"/>
        <v>105333.48816331156</v>
      </c>
      <c r="L101" s="11">
        <f t="shared" si="20"/>
        <v>-555.24612357971932</v>
      </c>
      <c r="M101" s="11"/>
      <c r="N101" s="11">
        <f t="shared" si="21"/>
        <v>-995.91047385192564</v>
      </c>
      <c r="O101" s="11">
        <f t="shared" si="23"/>
        <v>995.91047385192564</v>
      </c>
      <c r="P101" s="11">
        <f t="shared" si="22"/>
        <v>916.23763594377158</v>
      </c>
      <c r="Q101" s="12">
        <f t="shared" si="25"/>
        <v>-526.36464420221853</v>
      </c>
      <c r="R101" s="10">
        <f t="shared" si="17"/>
        <v>-148469.08672354699</v>
      </c>
      <c r="S101" s="13">
        <f t="shared" si="26"/>
        <v>299727.11278743972</v>
      </c>
      <c r="T101" s="10">
        <f t="shared" si="18"/>
        <v>105333.48816331156</v>
      </c>
      <c r="U101" s="10">
        <f t="shared" si="19"/>
        <v>45924.53790058117</v>
      </c>
    </row>
    <row r="102" spans="6:21" x14ac:dyDescent="0.25">
      <c r="F102" s="2">
        <f t="shared" si="27"/>
        <v>9</v>
      </c>
      <c r="G102" s="2">
        <f t="shared" si="28"/>
        <v>4</v>
      </c>
      <c r="H102" s="10">
        <f t="shared" si="24"/>
        <v>-887.35615656627056</v>
      </c>
      <c r="I102" s="11">
        <f t="shared" si="14"/>
        <v>-263.33372040827891</v>
      </c>
      <c r="J102" s="10">
        <f t="shared" si="15"/>
        <v>-624.02243615799171</v>
      </c>
      <c r="K102" s="10">
        <f t="shared" si="16"/>
        <v>104709.46572715357</v>
      </c>
      <c r="L102" s="11">
        <f t="shared" si="20"/>
        <v>-555.24612357971932</v>
      </c>
      <c r="M102" s="11"/>
      <c r="N102" s="11">
        <f t="shared" si="21"/>
        <v>-995.91047385192564</v>
      </c>
      <c r="O102" s="11">
        <f t="shared" si="23"/>
        <v>995.91047385192564</v>
      </c>
      <c r="P102" s="11">
        <f t="shared" si="22"/>
        <v>916.23763594377158</v>
      </c>
      <c r="Q102" s="12">
        <f>L102+H102+N102+O102+P102</f>
        <v>-526.36464420221853</v>
      </c>
      <c r="R102" s="10">
        <f t="shared" si="17"/>
        <v>-148995.45136774922</v>
      </c>
      <c r="S102" s="13">
        <f t="shared" si="26"/>
        <v>299727.11278743972</v>
      </c>
      <c r="T102" s="10">
        <f t="shared" si="18"/>
        <v>104709.46572715357</v>
      </c>
      <c r="U102" s="10">
        <f t="shared" si="19"/>
        <v>46022.195692536916</v>
      </c>
    </row>
    <row r="103" spans="6:21" x14ac:dyDescent="0.25">
      <c r="F103" s="2">
        <f t="shared" si="27"/>
        <v>9</v>
      </c>
      <c r="G103" s="2">
        <f t="shared" si="28"/>
        <v>5</v>
      </c>
      <c r="H103" s="10">
        <f t="shared" si="24"/>
        <v>-887.35615656627056</v>
      </c>
      <c r="I103" s="11">
        <f t="shared" si="14"/>
        <v>-261.77366431788391</v>
      </c>
      <c r="J103" s="10">
        <f t="shared" si="15"/>
        <v>-625.58249224838664</v>
      </c>
      <c r="K103" s="10">
        <f t="shared" si="16"/>
        <v>104083.88323490518</v>
      </c>
      <c r="L103" s="11">
        <f t="shared" si="20"/>
        <v>-555.24612357971932</v>
      </c>
      <c r="M103" s="11"/>
      <c r="N103" s="11">
        <f t="shared" si="21"/>
        <v>-995.91047385192564</v>
      </c>
      <c r="O103" s="11">
        <f t="shared" si="23"/>
        <v>995.91047385192564</v>
      </c>
      <c r="P103" s="11">
        <f t="shared" si="22"/>
        <v>916.23763594377158</v>
      </c>
      <c r="Q103" s="12">
        <f t="shared" si="25"/>
        <v>-526.36464420221853</v>
      </c>
      <c r="R103" s="10">
        <f t="shared" si="17"/>
        <v>-149521.81601195145</v>
      </c>
      <c r="S103" s="13">
        <f t="shared" si="26"/>
        <v>299727.11278743972</v>
      </c>
      <c r="T103" s="10">
        <f t="shared" si="18"/>
        <v>104083.88323490518</v>
      </c>
      <c r="U103" s="10">
        <f t="shared" si="19"/>
        <v>46121.413540583075</v>
      </c>
    </row>
    <row r="104" spans="6:21" x14ac:dyDescent="0.25">
      <c r="F104" s="2">
        <f t="shared" si="27"/>
        <v>9</v>
      </c>
      <c r="G104" s="2">
        <f t="shared" si="28"/>
        <v>6</v>
      </c>
      <c r="H104" s="10">
        <f t="shared" si="24"/>
        <v>-887.35615656627056</v>
      </c>
      <c r="I104" s="11">
        <f t="shared" si="14"/>
        <v>-260.20970808726298</v>
      </c>
      <c r="J104" s="10">
        <f t="shared" si="15"/>
        <v>-627.14644847900763</v>
      </c>
      <c r="K104" s="10">
        <f t="shared" si="16"/>
        <v>103456.73678642618</v>
      </c>
      <c r="L104" s="11">
        <f t="shared" si="20"/>
        <v>-555.24612357971932</v>
      </c>
      <c r="M104" s="11"/>
      <c r="N104" s="11">
        <f t="shared" si="21"/>
        <v>-995.91047385192564</v>
      </c>
      <c r="O104" s="11">
        <f t="shared" si="23"/>
        <v>995.91047385192564</v>
      </c>
      <c r="P104" s="11">
        <f t="shared" si="22"/>
        <v>916.23763594377158</v>
      </c>
      <c r="Q104" s="12">
        <f t="shared" si="25"/>
        <v>-526.36464420221853</v>
      </c>
      <c r="R104" s="10">
        <f t="shared" si="17"/>
        <v>-150048.18065615368</v>
      </c>
      <c r="S104" s="13">
        <f t="shared" si="26"/>
        <v>299727.11278743972</v>
      </c>
      <c r="T104" s="10">
        <f t="shared" si="18"/>
        <v>103456.73678642618</v>
      </c>
      <c r="U104" s="10">
        <f t="shared" si="19"/>
        <v>46222.19534485988</v>
      </c>
    </row>
    <row r="105" spans="6:21" x14ac:dyDescent="0.25">
      <c r="F105" s="2">
        <f t="shared" si="27"/>
        <v>9</v>
      </c>
      <c r="G105" s="2">
        <f t="shared" si="28"/>
        <v>7</v>
      </c>
      <c r="H105" s="10">
        <f t="shared" si="24"/>
        <v>-887.35615656627056</v>
      </c>
      <c r="I105" s="11">
        <f t="shared" si="14"/>
        <v>-258.64184196606544</v>
      </c>
      <c r="J105" s="10">
        <f t="shared" si="15"/>
        <v>-628.71431460020517</v>
      </c>
      <c r="K105" s="10">
        <f t="shared" si="16"/>
        <v>102828.02247182597</v>
      </c>
      <c r="L105" s="11">
        <f t="shared" si="20"/>
        <v>-555.24612357971932</v>
      </c>
      <c r="M105" s="11"/>
      <c r="N105" s="11">
        <f t="shared" si="21"/>
        <v>-995.91047385192564</v>
      </c>
      <c r="O105" s="11">
        <f t="shared" si="23"/>
        <v>995.91047385192564</v>
      </c>
      <c r="P105" s="11">
        <f t="shared" si="22"/>
        <v>916.23763594377158</v>
      </c>
      <c r="Q105" s="12">
        <f t="shared" si="25"/>
        <v>-526.36464420221853</v>
      </c>
      <c r="R105" s="10">
        <f t="shared" si="17"/>
        <v>-150574.54530035591</v>
      </c>
      <c r="S105" s="13">
        <f t="shared" si="26"/>
        <v>299727.11278743972</v>
      </c>
      <c r="T105" s="10">
        <f t="shared" si="18"/>
        <v>102828.02247182597</v>
      </c>
      <c r="U105" s="10">
        <f t="shared" si="19"/>
        <v>46324.545015257841</v>
      </c>
    </row>
    <row r="106" spans="6:21" x14ac:dyDescent="0.25">
      <c r="F106" s="2">
        <f t="shared" si="27"/>
        <v>9</v>
      </c>
      <c r="G106" s="2">
        <f t="shared" si="28"/>
        <v>8</v>
      </c>
      <c r="H106" s="10">
        <f t="shared" si="24"/>
        <v>-887.35615656627056</v>
      </c>
      <c r="I106" s="11">
        <f t="shared" si="14"/>
        <v>-257.07005617956492</v>
      </c>
      <c r="J106" s="10">
        <f t="shared" si="15"/>
        <v>-630.28610038670558</v>
      </c>
      <c r="K106" s="10">
        <f t="shared" si="16"/>
        <v>102197.73637143927</v>
      </c>
      <c r="L106" s="11">
        <f t="shared" si="20"/>
        <v>-555.24612357971932</v>
      </c>
      <c r="M106" s="11"/>
      <c r="N106" s="11">
        <f t="shared" si="21"/>
        <v>-995.91047385192564</v>
      </c>
      <c r="O106" s="11">
        <f t="shared" si="23"/>
        <v>995.91047385192564</v>
      </c>
      <c r="P106" s="11">
        <f t="shared" si="22"/>
        <v>916.23763594377158</v>
      </c>
      <c r="Q106" s="12">
        <f t="shared" si="25"/>
        <v>-526.36464420221853</v>
      </c>
      <c r="R106" s="10">
        <f t="shared" si="17"/>
        <v>-151100.90994455814</v>
      </c>
      <c r="S106" s="13">
        <f t="shared" si="26"/>
        <v>299727.11278743972</v>
      </c>
      <c r="T106" s="10">
        <f t="shared" si="18"/>
        <v>102197.73637143927</v>
      </c>
      <c r="U106" s="10">
        <f t="shared" si="19"/>
        <v>46428.466471442312</v>
      </c>
    </row>
    <row r="107" spans="6:21" x14ac:dyDescent="0.25">
      <c r="F107" s="2">
        <f t="shared" si="27"/>
        <v>9</v>
      </c>
      <c r="G107" s="2">
        <f t="shared" si="28"/>
        <v>9</v>
      </c>
      <c r="H107" s="10">
        <f t="shared" si="24"/>
        <v>-887.35615656627056</v>
      </c>
      <c r="I107" s="11">
        <f t="shared" si="14"/>
        <v>-255.49434092859818</v>
      </c>
      <c r="J107" s="10">
        <f t="shared" si="15"/>
        <v>-631.86181563767241</v>
      </c>
      <c r="K107" s="10">
        <f t="shared" si="16"/>
        <v>101565.87455580159</v>
      </c>
      <c r="L107" s="11">
        <f t="shared" si="20"/>
        <v>-555.24612357971932</v>
      </c>
      <c r="M107" s="11"/>
      <c r="N107" s="11">
        <f t="shared" si="21"/>
        <v>-995.91047385192564</v>
      </c>
      <c r="O107" s="11">
        <f t="shared" si="23"/>
        <v>995.91047385192564</v>
      </c>
      <c r="P107" s="11">
        <f t="shared" si="22"/>
        <v>916.23763594377158</v>
      </c>
      <c r="Q107" s="12">
        <f t="shared" si="25"/>
        <v>-526.36464420221853</v>
      </c>
      <c r="R107" s="10">
        <f t="shared" si="17"/>
        <v>-151627.27458876037</v>
      </c>
      <c r="S107" s="13">
        <f t="shared" si="26"/>
        <v>299727.11278743972</v>
      </c>
      <c r="T107" s="10">
        <f t="shared" si="18"/>
        <v>101565.87455580159</v>
      </c>
      <c r="U107" s="10">
        <f t="shared" si="19"/>
        <v>46533.963642877759</v>
      </c>
    </row>
    <row r="108" spans="6:21" x14ac:dyDescent="0.25">
      <c r="F108" s="2">
        <f t="shared" si="27"/>
        <v>9</v>
      </c>
      <c r="G108" s="2">
        <f t="shared" si="28"/>
        <v>10</v>
      </c>
      <c r="H108" s="10">
        <f t="shared" si="24"/>
        <v>-887.35615656627056</v>
      </c>
      <c r="I108" s="11">
        <f t="shared" si="14"/>
        <v>-253.914686389504</v>
      </c>
      <c r="J108" s="10">
        <f t="shared" si="15"/>
        <v>-633.44147017676653</v>
      </c>
      <c r="K108" s="10">
        <f t="shared" si="16"/>
        <v>100932.43308562483</v>
      </c>
      <c r="L108" s="11">
        <f t="shared" si="20"/>
        <v>-555.24612357971932</v>
      </c>
      <c r="M108" s="11"/>
      <c r="N108" s="11">
        <f t="shared" si="21"/>
        <v>-995.91047385192564</v>
      </c>
      <c r="O108" s="11">
        <f t="shared" si="23"/>
        <v>995.91047385192564</v>
      </c>
      <c r="P108" s="11">
        <f t="shared" si="22"/>
        <v>916.23763594377158</v>
      </c>
      <c r="Q108" s="12">
        <f t="shared" si="25"/>
        <v>-526.36464420221853</v>
      </c>
      <c r="R108" s="10">
        <f t="shared" si="17"/>
        <v>-152153.6392329626</v>
      </c>
      <c r="S108" s="13">
        <f t="shared" si="26"/>
        <v>299727.11278743972</v>
      </c>
      <c r="T108" s="10">
        <f t="shared" si="18"/>
        <v>100932.43308562483</v>
      </c>
      <c r="U108" s="10">
        <f t="shared" si="19"/>
        <v>46641.040468852298</v>
      </c>
    </row>
    <row r="109" spans="6:21" x14ac:dyDescent="0.25">
      <c r="F109" s="2">
        <f t="shared" si="27"/>
        <v>9</v>
      </c>
      <c r="G109" s="2">
        <f t="shared" si="28"/>
        <v>11</v>
      </c>
      <c r="H109" s="10">
        <f t="shared" si="24"/>
        <v>-887.35615656627056</v>
      </c>
      <c r="I109" s="11">
        <f t="shared" si="14"/>
        <v>-252.33108271406206</v>
      </c>
      <c r="J109" s="10">
        <f t="shared" si="15"/>
        <v>-635.02507385220849</v>
      </c>
      <c r="K109" s="10">
        <f t="shared" si="16"/>
        <v>100297.40801177261</v>
      </c>
      <c r="L109" s="11">
        <f t="shared" si="20"/>
        <v>-555.24612357971932</v>
      </c>
      <c r="M109" s="11"/>
      <c r="N109" s="11">
        <f t="shared" si="21"/>
        <v>-995.91047385192564</v>
      </c>
      <c r="O109" s="11">
        <f t="shared" si="23"/>
        <v>995.91047385192564</v>
      </c>
      <c r="P109" s="11">
        <f t="shared" si="22"/>
        <v>916.23763594377158</v>
      </c>
      <c r="Q109" s="12">
        <f t="shared" si="25"/>
        <v>-526.36464420221853</v>
      </c>
      <c r="R109" s="10">
        <f t="shared" si="17"/>
        <v>-152680.00387716483</v>
      </c>
      <c r="S109" s="13">
        <f t="shared" si="26"/>
        <v>299727.11278743972</v>
      </c>
      <c r="T109" s="10">
        <f t="shared" si="18"/>
        <v>100297.40801177261</v>
      </c>
      <c r="U109" s="10">
        <f t="shared" si="19"/>
        <v>46749.700898502284</v>
      </c>
    </row>
    <row r="110" spans="6:21" x14ac:dyDescent="0.25">
      <c r="F110" s="2">
        <f t="shared" si="27"/>
        <v>9</v>
      </c>
      <c r="G110" s="2">
        <f t="shared" si="28"/>
        <v>12</v>
      </c>
      <c r="H110" s="10">
        <f t="shared" si="24"/>
        <v>-887.35615656627056</v>
      </c>
      <c r="I110" s="11">
        <f t="shared" si="14"/>
        <v>-250.74352002943152</v>
      </c>
      <c r="J110" s="10">
        <f t="shared" si="15"/>
        <v>-636.61263653683909</v>
      </c>
      <c r="K110" s="10">
        <f t="shared" si="16"/>
        <v>99660.795375235772</v>
      </c>
      <c r="L110" s="11">
        <f t="shared" si="20"/>
        <v>-555.24612357971932</v>
      </c>
      <c r="M110" s="11"/>
      <c r="N110" s="11">
        <f t="shared" si="21"/>
        <v>-995.91047385192564</v>
      </c>
      <c r="O110" s="11">
        <f t="shared" si="23"/>
        <v>995.91047385192564</v>
      </c>
      <c r="P110" s="11">
        <f t="shared" si="22"/>
        <v>916.23763594377158</v>
      </c>
      <c r="Q110" s="12">
        <f t="shared" si="25"/>
        <v>-526.36464420221853</v>
      </c>
      <c r="R110" s="10">
        <f t="shared" si="17"/>
        <v>-153206.36852136705</v>
      </c>
      <c r="S110" s="13">
        <f t="shared" si="26"/>
        <v>299727.11278743972</v>
      </c>
      <c r="T110" s="10">
        <f t="shared" si="18"/>
        <v>99660.795375235772</v>
      </c>
      <c r="U110" s="10">
        <f t="shared" si="19"/>
        <v>46859.94889083688</v>
      </c>
    </row>
    <row r="111" spans="6:21" x14ac:dyDescent="0.25">
      <c r="F111" s="2">
        <f t="shared" si="27"/>
        <v>10</v>
      </c>
      <c r="G111" s="2">
        <f t="shared" si="28"/>
        <v>1</v>
      </c>
      <c r="H111" s="10">
        <f t="shared" si="24"/>
        <v>-887.35615656627056</v>
      </c>
      <c r="I111" s="11">
        <f t="shared" si="14"/>
        <v>-249.15198843808943</v>
      </c>
      <c r="J111" s="10">
        <f t="shared" si="15"/>
        <v>-638.2041681281811</v>
      </c>
      <c r="K111" s="10">
        <f t="shared" si="16"/>
        <v>99022.591207107587</v>
      </c>
      <c r="L111" s="11">
        <f t="shared" si="20"/>
        <v>-564.93324235459465</v>
      </c>
      <c r="M111" s="11"/>
      <c r="N111" s="11">
        <f t="shared" si="21"/>
        <v>-1015.8286833289642</v>
      </c>
      <c r="O111" s="11">
        <f t="shared" si="23"/>
        <v>1015.8286833289642</v>
      </c>
      <c r="P111" s="11">
        <f t="shared" si="22"/>
        <v>934.56238866264709</v>
      </c>
      <c r="Q111" s="12">
        <f t="shared" si="25"/>
        <v>-517.72701025821777</v>
      </c>
      <c r="R111" s="10">
        <f t="shared" si="17"/>
        <v>-153724.09553162527</v>
      </c>
      <c r="S111" s="13">
        <f t="shared" si="26"/>
        <v>307220.29060712567</v>
      </c>
      <c r="T111" s="10">
        <f t="shared" si="18"/>
        <v>99022.591207107587</v>
      </c>
      <c r="U111" s="10">
        <f t="shared" si="19"/>
        <v>54473.60386839282</v>
      </c>
    </row>
    <row r="112" spans="6:21" x14ac:dyDescent="0.25">
      <c r="F112" s="2">
        <f t="shared" si="27"/>
        <v>10</v>
      </c>
      <c r="G112" s="2">
        <f t="shared" si="28"/>
        <v>2</v>
      </c>
      <c r="H112" s="10">
        <f t="shared" si="24"/>
        <v>-887.35615656627056</v>
      </c>
      <c r="I112" s="11">
        <f t="shared" si="14"/>
        <v>-247.55647801776897</v>
      </c>
      <c r="J112" s="10">
        <f t="shared" si="15"/>
        <v>-639.79967854850156</v>
      </c>
      <c r="K112" s="10">
        <f t="shared" si="16"/>
        <v>98382.791528559086</v>
      </c>
      <c r="L112" s="11">
        <f t="shared" si="20"/>
        <v>-564.93324235459465</v>
      </c>
      <c r="M112" s="11"/>
      <c r="N112" s="11">
        <f t="shared" si="21"/>
        <v>-1015.8286833289642</v>
      </c>
      <c r="O112" s="11">
        <f t="shared" si="23"/>
        <v>1015.8286833289642</v>
      </c>
      <c r="P112" s="11">
        <f t="shared" si="22"/>
        <v>934.56238866264709</v>
      </c>
      <c r="Q112" s="12">
        <f t="shared" si="25"/>
        <v>-517.72701025821777</v>
      </c>
      <c r="R112" s="10">
        <f t="shared" si="17"/>
        <v>-154241.82254188348</v>
      </c>
      <c r="S112" s="13">
        <f t="shared" si="26"/>
        <v>307220.29060712567</v>
      </c>
      <c r="T112" s="10">
        <f t="shared" si="18"/>
        <v>98382.791528559086</v>
      </c>
      <c r="U112" s="10">
        <f t="shared" si="19"/>
        <v>54595.67653668311</v>
      </c>
    </row>
    <row r="113" spans="6:21" x14ac:dyDescent="0.25">
      <c r="F113" s="2">
        <f t="shared" si="27"/>
        <v>10</v>
      </c>
      <c r="G113" s="2">
        <f t="shared" si="28"/>
        <v>3</v>
      </c>
      <c r="H113" s="10">
        <f t="shared" si="24"/>
        <v>-887.35615656627056</v>
      </c>
      <c r="I113" s="11">
        <f t="shared" si="14"/>
        <v>-245.95697882139771</v>
      </c>
      <c r="J113" s="10">
        <f t="shared" si="15"/>
        <v>-641.39917774487287</v>
      </c>
      <c r="K113" s="10">
        <f t="shared" si="16"/>
        <v>97741.392350814218</v>
      </c>
      <c r="L113" s="11">
        <f t="shared" si="20"/>
        <v>-564.93324235459465</v>
      </c>
      <c r="M113" s="11"/>
      <c r="N113" s="11">
        <f t="shared" si="21"/>
        <v>-1015.8286833289642</v>
      </c>
      <c r="O113" s="11">
        <f t="shared" si="23"/>
        <v>1015.8286833289642</v>
      </c>
      <c r="P113" s="11">
        <f t="shared" si="22"/>
        <v>934.56238866264709</v>
      </c>
      <c r="Q113" s="12">
        <f t="shared" si="25"/>
        <v>-517.72701025821777</v>
      </c>
      <c r="R113" s="10">
        <f t="shared" si="17"/>
        <v>-154759.54955214169</v>
      </c>
      <c r="S113" s="13">
        <f t="shared" si="26"/>
        <v>307220.29060712567</v>
      </c>
      <c r="T113" s="10">
        <f t="shared" si="18"/>
        <v>97741.392350814218</v>
      </c>
      <c r="U113" s="10">
        <f t="shared" si="19"/>
        <v>54719.348704169766</v>
      </c>
    </row>
    <row r="114" spans="6:21" x14ac:dyDescent="0.25">
      <c r="F114" s="2">
        <f t="shared" si="27"/>
        <v>10</v>
      </c>
      <c r="G114" s="2">
        <f t="shared" si="28"/>
        <v>4</v>
      </c>
      <c r="H114" s="10">
        <f t="shared" si="24"/>
        <v>-887.35615656627056</v>
      </c>
      <c r="I114" s="11">
        <f t="shared" si="14"/>
        <v>-244.35348087703554</v>
      </c>
      <c r="J114" s="10">
        <f t="shared" si="15"/>
        <v>-643.00267568923505</v>
      </c>
      <c r="K114" s="10">
        <f t="shared" si="16"/>
        <v>97098.389675124985</v>
      </c>
      <c r="L114" s="11">
        <f t="shared" si="20"/>
        <v>-564.93324235459465</v>
      </c>
      <c r="M114" s="11"/>
      <c r="N114" s="11">
        <f t="shared" si="21"/>
        <v>-1015.8286833289642</v>
      </c>
      <c r="O114" s="11">
        <f t="shared" si="23"/>
        <v>1015.8286833289642</v>
      </c>
      <c r="P114" s="11">
        <f t="shared" si="22"/>
        <v>934.56238866264709</v>
      </c>
      <c r="Q114" s="12">
        <f t="shared" si="25"/>
        <v>-517.72701025821777</v>
      </c>
      <c r="R114" s="10">
        <f t="shared" si="17"/>
        <v>-155277.2765623999</v>
      </c>
      <c r="S114" s="13">
        <f t="shared" si="26"/>
        <v>307220.29060712567</v>
      </c>
      <c r="T114" s="10">
        <f t="shared" si="18"/>
        <v>97098.389675124985</v>
      </c>
      <c r="U114" s="10">
        <f t="shared" si="19"/>
        <v>54844.624369600788</v>
      </c>
    </row>
    <row r="115" spans="6:21" x14ac:dyDescent="0.25">
      <c r="F115" s="2">
        <f t="shared" si="27"/>
        <v>10</v>
      </c>
      <c r="G115" s="2">
        <f t="shared" si="28"/>
        <v>5</v>
      </c>
      <c r="H115" s="10">
        <f t="shared" si="24"/>
        <v>-887.35615656627056</v>
      </c>
      <c r="I115" s="11">
        <f t="shared" si="14"/>
        <v>-242.74597418781246</v>
      </c>
      <c r="J115" s="10">
        <f t="shared" si="15"/>
        <v>-644.61018237845815</v>
      </c>
      <c r="K115" s="10">
        <f t="shared" si="16"/>
        <v>96453.779492746529</v>
      </c>
      <c r="L115" s="11">
        <f t="shared" si="20"/>
        <v>-564.93324235459465</v>
      </c>
      <c r="M115" s="11"/>
      <c r="N115" s="11">
        <f t="shared" si="21"/>
        <v>-1015.8286833289642</v>
      </c>
      <c r="O115" s="11">
        <f t="shared" si="23"/>
        <v>1015.8286833289642</v>
      </c>
      <c r="P115" s="11">
        <f t="shared" si="22"/>
        <v>934.56238866264709</v>
      </c>
      <c r="Q115" s="12">
        <f t="shared" si="25"/>
        <v>-517.72701025821777</v>
      </c>
      <c r="R115" s="10">
        <f t="shared" si="17"/>
        <v>-155795.00357265811</v>
      </c>
      <c r="S115" s="13">
        <f t="shared" si="26"/>
        <v>307220.29060712567</v>
      </c>
      <c r="T115" s="10">
        <f t="shared" si="18"/>
        <v>96453.779492746529</v>
      </c>
      <c r="U115" s="10">
        <f t="shared" si="19"/>
        <v>54971.507541721046</v>
      </c>
    </row>
    <row r="116" spans="6:21" x14ac:dyDescent="0.25">
      <c r="F116" s="2">
        <f t="shared" si="27"/>
        <v>10</v>
      </c>
      <c r="G116" s="2">
        <f t="shared" si="28"/>
        <v>6</v>
      </c>
      <c r="H116" s="10">
        <f t="shared" si="24"/>
        <v>-887.35615656627056</v>
      </c>
      <c r="I116" s="11">
        <f t="shared" si="14"/>
        <v>-241.13444873186631</v>
      </c>
      <c r="J116" s="10">
        <f t="shared" si="15"/>
        <v>-646.22170783440424</v>
      </c>
      <c r="K116" s="10">
        <f t="shared" si="16"/>
        <v>95807.557784912118</v>
      </c>
      <c r="L116" s="11">
        <f t="shared" si="20"/>
        <v>-564.93324235459465</v>
      </c>
      <c r="M116" s="11"/>
      <c r="N116" s="11">
        <f t="shared" si="21"/>
        <v>-1015.8286833289642</v>
      </c>
      <c r="O116" s="11">
        <f t="shared" si="23"/>
        <v>1015.8286833289642</v>
      </c>
      <c r="P116" s="11">
        <f t="shared" si="22"/>
        <v>934.56238866264709</v>
      </c>
      <c r="Q116" s="12">
        <f t="shared" si="25"/>
        <v>-517.72701025821777</v>
      </c>
      <c r="R116" s="10">
        <f t="shared" si="17"/>
        <v>-156312.73058291632</v>
      </c>
      <c r="S116" s="13">
        <f t="shared" si="26"/>
        <v>307220.29060712567</v>
      </c>
      <c r="T116" s="10">
        <f t="shared" si="18"/>
        <v>95807.557784912118</v>
      </c>
      <c r="U116" s="10">
        <f t="shared" si="19"/>
        <v>55100.002239297231</v>
      </c>
    </row>
    <row r="117" spans="6:21" x14ac:dyDescent="0.25">
      <c r="F117" s="2">
        <f t="shared" si="27"/>
        <v>10</v>
      </c>
      <c r="G117" s="2">
        <f t="shared" si="28"/>
        <v>7</v>
      </c>
      <c r="H117" s="10">
        <f t="shared" si="24"/>
        <v>-887.35615656627056</v>
      </c>
      <c r="I117" s="11">
        <f t="shared" si="14"/>
        <v>-239.51889446228029</v>
      </c>
      <c r="J117" s="10">
        <f t="shared" si="15"/>
        <v>-647.83726210399027</v>
      </c>
      <c r="K117" s="10">
        <f t="shared" si="16"/>
        <v>95159.720522808129</v>
      </c>
      <c r="L117" s="11">
        <f t="shared" si="20"/>
        <v>-564.93324235459465</v>
      </c>
      <c r="M117" s="11"/>
      <c r="N117" s="11">
        <f t="shared" si="21"/>
        <v>-1015.8286833289642</v>
      </c>
      <c r="O117" s="11">
        <f t="shared" si="23"/>
        <v>1015.8286833289642</v>
      </c>
      <c r="P117" s="11">
        <f t="shared" si="22"/>
        <v>934.56238866264709</v>
      </c>
      <c r="Q117" s="12">
        <f t="shared" si="25"/>
        <v>-517.72701025821777</v>
      </c>
      <c r="R117" s="10">
        <f t="shared" si="17"/>
        <v>-156830.45759317453</v>
      </c>
      <c r="S117" s="13">
        <f t="shared" si="26"/>
        <v>307220.29060712567</v>
      </c>
      <c r="T117" s="10">
        <f t="shared" si="18"/>
        <v>95159.720522808129</v>
      </c>
      <c r="U117" s="10">
        <f t="shared" si="19"/>
        <v>55230.112491142994</v>
      </c>
    </row>
    <row r="118" spans="6:21" x14ac:dyDescent="0.25">
      <c r="F118" s="2">
        <f t="shared" si="27"/>
        <v>10</v>
      </c>
      <c r="G118" s="2">
        <f t="shared" si="28"/>
        <v>8</v>
      </c>
      <c r="H118" s="10">
        <f t="shared" si="24"/>
        <v>-887.35615656627056</v>
      </c>
      <c r="I118" s="11">
        <f t="shared" si="14"/>
        <v>-237.89930130702032</v>
      </c>
      <c r="J118" s="10">
        <f t="shared" si="15"/>
        <v>-649.45685525925023</v>
      </c>
      <c r="K118" s="10">
        <f t="shared" si="16"/>
        <v>94510.263667548876</v>
      </c>
      <c r="L118" s="11">
        <f t="shared" si="20"/>
        <v>-564.93324235459465</v>
      </c>
      <c r="M118" s="11"/>
      <c r="N118" s="11">
        <f t="shared" si="21"/>
        <v>-1015.8286833289642</v>
      </c>
      <c r="O118" s="11">
        <f t="shared" si="23"/>
        <v>1015.8286833289642</v>
      </c>
      <c r="P118" s="11">
        <f t="shared" si="22"/>
        <v>934.56238866264709</v>
      </c>
      <c r="Q118" s="12">
        <f t="shared" si="25"/>
        <v>-517.72701025821777</v>
      </c>
      <c r="R118" s="10">
        <f t="shared" si="17"/>
        <v>-157348.18460343275</v>
      </c>
      <c r="S118" s="13">
        <f t="shared" si="26"/>
        <v>307220.29060712567</v>
      </c>
      <c r="T118" s="10">
        <f t="shared" si="18"/>
        <v>94510.263667548876</v>
      </c>
      <c r="U118" s="10">
        <f t="shared" si="19"/>
        <v>55361.842336144036</v>
      </c>
    </row>
    <row r="119" spans="6:21" x14ac:dyDescent="0.25">
      <c r="F119" s="2">
        <f t="shared" si="27"/>
        <v>10</v>
      </c>
      <c r="G119" s="2">
        <f t="shared" si="28"/>
        <v>9</v>
      </c>
      <c r="H119" s="10">
        <f t="shared" si="24"/>
        <v>-887.35615656627056</v>
      </c>
      <c r="I119" s="11">
        <f t="shared" si="14"/>
        <v>-236.27565916887218</v>
      </c>
      <c r="J119" s="10">
        <f t="shared" si="15"/>
        <v>-651.0804973973984</v>
      </c>
      <c r="K119" s="10">
        <f t="shared" si="16"/>
        <v>93859.183170151475</v>
      </c>
      <c r="L119" s="11">
        <f t="shared" si="20"/>
        <v>-564.93324235459465</v>
      </c>
      <c r="M119" s="11"/>
      <c r="N119" s="11">
        <f t="shared" si="21"/>
        <v>-1015.8286833289642</v>
      </c>
      <c r="O119" s="11">
        <f t="shared" si="23"/>
        <v>1015.8286833289642</v>
      </c>
      <c r="P119" s="11">
        <f t="shared" si="22"/>
        <v>934.56238866264709</v>
      </c>
      <c r="Q119" s="12">
        <f t="shared" si="25"/>
        <v>-517.72701025821777</v>
      </c>
      <c r="R119" s="10">
        <f t="shared" si="17"/>
        <v>-157865.91161369096</v>
      </c>
      <c r="S119" s="13">
        <f t="shared" si="26"/>
        <v>307220.29060712567</v>
      </c>
      <c r="T119" s="10">
        <f t="shared" si="18"/>
        <v>93859.183170151475</v>
      </c>
      <c r="U119" s="10">
        <f t="shared" si="19"/>
        <v>55495.195823283226</v>
      </c>
    </row>
    <row r="120" spans="6:21" x14ac:dyDescent="0.25">
      <c r="F120" s="2">
        <f t="shared" si="27"/>
        <v>10</v>
      </c>
      <c r="G120" s="2">
        <f t="shared" si="28"/>
        <v>10</v>
      </c>
      <c r="H120" s="10">
        <f t="shared" si="24"/>
        <v>-887.35615656627056</v>
      </c>
      <c r="I120" s="11">
        <f t="shared" si="14"/>
        <v>-234.64795792537871</v>
      </c>
      <c r="J120" s="10">
        <f t="shared" si="15"/>
        <v>-652.70819864089185</v>
      </c>
      <c r="K120" s="10">
        <f t="shared" si="16"/>
        <v>93206.474971510586</v>
      </c>
      <c r="L120" s="11">
        <f t="shared" si="20"/>
        <v>-564.93324235459465</v>
      </c>
      <c r="M120" s="11"/>
      <c r="N120" s="11">
        <f t="shared" si="21"/>
        <v>-1015.8286833289642</v>
      </c>
      <c r="O120" s="11">
        <f t="shared" si="23"/>
        <v>1015.8286833289642</v>
      </c>
      <c r="P120" s="11">
        <f t="shared" si="22"/>
        <v>934.56238866264709</v>
      </c>
      <c r="Q120" s="12">
        <f t="shared" si="25"/>
        <v>-517.72701025821777</v>
      </c>
      <c r="R120" s="10">
        <f t="shared" si="17"/>
        <v>-158383.63862394917</v>
      </c>
      <c r="S120" s="13">
        <f t="shared" si="26"/>
        <v>307220.29060712567</v>
      </c>
      <c r="T120" s="10">
        <f t="shared" si="18"/>
        <v>93206.474971510586</v>
      </c>
      <c r="U120" s="10">
        <f t="shared" si="19"/>
        <v>55630.177011665917</v>
      </c>
    </row>
    <row r="121" spans="6:21" x14ac:dyDescent="0.25">
      <c r="F121" s="2">
        <f t="shared" si="27"/>
        <v>10</v>
      </c>
      <c r="G121" s="2">
        <f t="shared" si="28"/>
        <v>11</v>
      </c>
      <c r="H121" s="10">
        <f t="shared" si="24"/>
        <v>-887.35615656627056</v>
      </c>
      <c r="I121" s="11">
        <f t="shared" si="14"/>
        <v>-233.01618742877648</v>
      </c>
      <c r="J121" s="10">
        <f t="shared" si="15"/>
        <v>-654.33996913749411</v>
      </c>
      <c r="K121" s="10">
        <f t="shared" si="16"/>
        <v>92552.135002373092</v>
      </c>
      <c r="L121" s="11">
        <f t="shared" si="20"/>
        <v>-564.93324235459465</v>
      </c>
      <c r="M121" s="11"/>
      <c r="N121" s="11">
        <f t="shared" si="21"/>
        <v>-1015.8286833289642</v>
      </c>
      <c r="O121" s="11">
        <f t="shared" si="23"/>
        <v>1015.8286833289642</v>
      </c>
      <c r="P121" s="11">
        <f t="shared" si="22"/>
        <v>934.56238866264709</v>
      </c>
      <c r="Q121" s="12">
        <f t="shared" si="25"/>
        <v>-517.72701025821777</v>
      </c>
      <c r="R121" s="10">
        <f t="shared" si="17"/>
        <v>-158901.36563420738</v>
      </c>
      <c r="S121" s="13">
        <f t="shared" si="26"/>
        <v>307220.29060712567</v>
      </c>
      <c r="T121" s="10">
        <f t="shared" si="18"/>
        <v>92552.135002373092</v>
      </c>
      <c r="U121" s="10">
        <f t="shared" si="19"/>
        <v>55766.789970545215</v>
      </c>
    </row>
    <row r="122" spans="6:21" x14ac:dyDescent="0.25">
      <c r="F122" s="2">
        <f t="shared" si="27"/>
        <v>10</v>
      </c>
      <c r="G122" s="2">
        <f t="shared" si="28"/>
        <v>12</v>
      </c>
      <c r="H122" s="10">
        <f t="shared" si="24"/>
        <v>-887.35615656627056</v>
      </c>
      <c r="I122" s="11">
        <f t="shared" si="14"/>
        <v>-231.38033750593274</v>
      </c>
      <c r="J122" s="10">
        <f t="shared" si="15"/>
        <v>-655.97581906033781</v>
      </c>
      <c r="K122" s="10">
        <f t="shared" si="16"/>
        <v>91896.15918331276</v>
      </c>
      <c r="L122" s="11">
        <f t="shared" si="20"/>
        <v>-564.93324235459465</v>
      </c>
      <c r="M122" s="11"/>
      <c r="N122" s="11">
        <f t="shared" si="21"/>
        <v>-1015.8286833289642</v>
      </c>
      <c r="O122" s="11">
        <f t="shared" si="23"/>
        <v>1015.8286833289642</v>
      </c>
      <c r="P122" s="11">
        <f t="shared" si="22"/>
        <v>934.56238866264709</v>
      </c>
      <c r="Q122" s="12">
        <f>L122+H122+N122+O122+P122+$C$30</f>
        <v>198066.94749544872</v>
      </c>
      <c r="R122" s="10">
        <f t="shared" si="17"/>
        <v>39165.581861241342</v>
      </c>
      <c r="S122" s="13">
        <f t="shared" si="26"/>
        <v>307220.29060712567</v>
      </c>
      <c r="T122" s="10">
        <f t="shared" si="18"/>
        <v>91896.15918331276</v>
      </c>
      <c r="U122" s="10">
        <f t="shared" si="19"/>
        <v>254489.71328505425</v>
      </c>
    </row>
    <row r="123" spans="6:21" x14ac:dyDescent="0.25">
      <c r="F123" s="2"/>
      <c r="G123" s="2"/>
      <c r="H123" s="10"/>
      <c r="I123" s="11"/>
      <c r="J123" s="10"/>
      <c r="K123" s="10"/>
      <c r="L123" s="11"/>
      <c r="M123" s="11"/>
      <c r="N123" s="11"/>
      <c r="O123" s="11"/>
      <c r="P123" s="11"/>
      <c r="Q123" s="12"/>
      <c r="R123" s="10"/>
      <c r="S123" s="13"/>
      <c r="T123" s="10"/>
      <c r="U123" s="10"/>
    </row>
    <row r="124" spans="6:21" x14ac:dyDescent="0.25">
      <c r="F124" s="2"/>
      <c r="G124" s="2"/>
      <c r="H124" s="10"/>
      <c r="I124" s="11"/>
      <c r="J124" s="10"/>
      <c r="K124" s="10"/>
      <c r="L124" s="11"/>
      <c r="M124" s="11"/>
      <c r="N124" s="11"/>
      <c r="O124" s="11"/>
      <c r="P124" s="11"/>
      <c r="Q124" s="12"/>
      <c r="R124" s="10"/>
      <c r="S124" s="13"/>
      <c r="T124" s="10"/>
      <c r="U124" s="10"/>
    </row>
    <row r="125" spans="6:21" x14ac:dyDescent="0.25">
      <c r="F125" s="2"/>
      <c r="G125" t="s">
        <v>42</v>
      </c>
      <c r="H125" s="10"/>
      <c r="I125" s="11"/>
      <c r="J125" s="10"/>
      <c r="K125" s="10"/>
      <c r="L125" s="11"/>
      <c r="M125" s="11"/>
      <c r="N125" s="11"/>
      <c r="O125" s="11"/>
      <c r="P125" s="11"/>
      <c r="Q125" s="12"/>
      <c r="R125" s="10"/>
      <c r="S125" s="13"/>
      <c r="T125" s="10"/>
      <c r="U125" s="10"/>
    </row>
    <row r="126" spans="6:21" x14ac:dyDescent="0.25">
      <c r="F126" s="2"/>
      <c r="G126" s="15">
        <f>NPV(4%,G129:G139)</f>
        <v>-13204.391799721858</v>
      </c>
      <c r="H126" s="10">
        <v>-124495.90263716056</v>
      </c>
      <c r="I126" s="11"/>
      <c r="J126" s="10"/>
      <c r="K126" s="10"/>
      <c r="L126" s="11"/>
      <c r="M126" s="11"/>
      <c r="N126" s="11"/>
      <c r="O126" s="11"/>
      <c r="P126" s="11"/>
      <c r="Q126" s="12"/>
      <c r="R126" s="10"/>
      <c r="S126" s="13"/>
      <c r="T126" s="10"/>
      <c r="U126" s="10"/>
    </row>
    <row r="127" spans="6:21" x14ac:dyDescent="0.25">
      <c r="F127" s="2"/>
      <c r="H127" s="10"/>
      <c r="I127" s="11"/>
      <c r="J127" s="10"/>
      <c r="K127" s="10"/>
      <c r="L127" s="11"/>
      <c r="M127" s="11"/>
      <c r="N127" s="11"/>
      <c r="O127" s="11"/>
      <c r="P127" s="11"/>
      <c r="Q127" s="12"/>
      <c r="R127" s="10"/>
      <c r="S127" s="13"/>
      <c r="T127" s="10"/>
      <c r="U127" s="10"/>
    </row>
    <row r="128" spans="6:21" x14ac:dyDescent="0.25">
      <c r="F128" s="2" t="s">
        <v>0</v>
      </c>
      <c r="G128" s="2" t="s">
        <v>48</v>
      </c>
      <c r="H128" s="10"/>
      <c r="I128" s="11"/>
      <c r="J128" s="10"/>
      <c r="K128" s="10"/>
      <c r="L128" s="11"/>
      <c r="M128" s="11"/>
      <c r="N128" s="11"/>
      <c r="O128" s="11"/>
      <c r="P128" s="11"/>
      <c r="Q128" s="12"/>
      <c r="R128" s="10"/>
      <c r="S128" s="13"/>
      <c r="T128" s="10"/>
      <c r="U128" s="10"/>
    </row>
    <row r="129" spans="6:21" x14ac:dyDescent="0.25">
      <c r="F129" s="2">
        <v>0</v>
      </c>
      <c r="G129" s="2">
        <f>SUMIFS($Q$2:$Q$122,$F$2:$F$122,F129)</f>
        <v>-100000</v>
      </c>
      <c r="H129" s="10"/>
      <c r="I129" s="11"/>
      <c r="J129" s="10"/>
      <c r="K129" s="10"/>
      <c r="L129" s="11"/>
      <c r="M129" s="11"/>
      <c r="N129" s="11"/>
      <c r="O129" s="11"/>
      <c r="P129" s="11"/>
      <c r="Q129" s="12"/>
      <c r="R129" s="10"/>
      <c r="S129" s="13"/>
      <c r="T129" s="10"/>
      <c r="U129" s="10"/>
    </row>
    <row r="130" spans="6:21" x14ac:dyDescent="0.25">
      <c r="F130" s="2">
        <f>F129+1</f>
        <v>1</v>
      </c>
      <c r="G130" s="21">
        <f t="shared" ref="G130:G139" si="29">SUMIFS($Q$2:$Q$122,$F$2:$F$122,F130)</f>
        <v>-5708.2738787952439</v>
      </c>
      <c r="H130" s="10"/>
      <c r="I130" s="11"/>
      <c r="J130" s="10"/>
      <c r="K130" s="10"/>
      <c r="L130" s="11"/>
      <c r="M130" s="11"/>
      <c r="N130" s="11"/>
      <c r="O130" s="11"/>
      <c r="P130" s="11"/>
      <c r="Q130" s="12"/>
      <c r="R130" s="10"/>
      <c r="S130" s="13"/>
      <c r="T130" s="10"/>
      <c r="U130" s="10"/>
    </row>
    <row r="131" spans="6:21" x14ac:dyDescent="0.25">
      <c r="F131" s="2">
        <f t="shared" ref="F131:F139" si="30">F130+1</f>
        <v>2</v>
      </c>
      <c r="G131" s="21">
        <f t="shared" si="29"/>
        <v>-5589.7738787952439</v>
      </c>
      <c r="H131" s="10"/>
      <c r="I131" s="11"/>
      <c r="J131" s="10"/>
      <c r="K131" s="10"/>
      <c r="L131" s="11"/>
      <c r="M131" s="11"/>
      <c r="N131" s="11"/>
      <c r="O131" s="11"/>
      <c r="P131" s="11"/>
      <c r="Q131" s="12"/>
      <c r="R131" s="10"/>
      <c r="S131" s="13"/>
      <c r="T131" s="10"/>
      <c r="U131" s="10"/>
    </row>
    <row r="132" spans="6:21" x14ac:dyDescent="0.25">
      <c r="F132" s="2">
        <f t="shared" si="30"/>
        <v>3</v>
      </c>
      <c r="G132" s="21">
        <f t="shared" si="29"/>
        <v>-5469.2113787952476</v>
      </c>
      <c r="H132" s="10"/>
      <c r="I132" s="11"/>
      <c r="J132" s="10"/>
      <c r="K132" s="10"/>
      <c r="L132" s="11"/>
      <c r="M132" s="11"/>
      <c r="N132" s="11"/>
      <c r="O132" s="11"/>
      <c r="P132" s="11"/>
      <c r="Q132" s="12"/>
      <c r="R132" s="10"/>
      <c r="S132" s="13"/>
      <c r="T132" s="10"/>
      <c r="U132" s="10"/>
    </row>
    <row r="133" spans="6:21" x14ac:dyDescent="0.25">
      <c r="F133" s="2">
        <f t="shared" si="30"/>
        <v>4</v>
      </c>
      <c r="G133" s="21">
        <f t="shared" si="29"/>
        <v>-5346.5528162952469</v>
      </c>
    </row>
    <row r="134" spans="6:21" x14ac:dyDescent="0.25">
      <c r="F134" s="2">
        <f t="shared" si="30"/>
        <v>5</v>
      </c>
      <c r="G134" s="21">
        <f t="shared" si="29"/>
        <v>-5221.7641497327468</v>
      </c>
    </row>
    <row r="135" spans="6:21" x14ac:dyDescent="0.25">
      <c r="F135" s="2">
        <f t="shared" si="30"/>
        <v>6</v>
      </c>
      <c r="G135" s="21">
        <f t="shared" si="29"/>
        <v>-6617.3824445511118</v>
      </c>
    </row>
    <row r="136" spans="6:21" x14ac:dyDescent="0.25">
      <c r="F136" s="2">
        <f t="shared" si="30"/>
        <v>7</v>
      </c>
      <c r="G136" s="21">
        <f t="shared" si="29"/>
        <v>-6518.6809368847826</v>
      </c>
    </row>
    <row r="137" spans="6:21" x14ac:dyDescent="0.25">
      <c r="F137" s="2">
        <f t="shared" si="30"/>
        <v>8</v>
      </c>
      <c r="G137" s="21">
        <f t="shared" si="29"/>
        <v>-6418.3533070905942</v>
      </c>
    </row>
    <row r="138" spans="6:21" x14ac:dyDescent="0.25">
      <c r="F138" s="2">
        <f t="shared" si="30"/>
        <v>9</v>
      </c>
      <c r="G138" s="21">
        <f t="shared" si="29"/>
        <v>-6316.375730426621</v>
      </c>
    </row>
    <row r="139" spans="6:21" x14ac:dyDescent="0.25">
      <c r="F139" s="2">
        <f t="shared" si="30"/>
        <v>10</v>
      </c>
      <c r="G139" s="21">
        <f t="shared" si="29"/>
        <v>192371.95038260834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Location</vt:lpstr>
      <vt:lpstr>Achat_1</vt:lpstr>
      <vt:lpstr>Achat_2</vt:lpstr>
      <vt:lpstr>Location_1_v2</vt:lpstr>
      <vt:lpstr>Achat_1_v2</vt:lpstr>
      <vt:lpstr>Achat_1_v2_20yrs</vt:lpstr>
      <vt:lpstr>Location_2_v2</vt:lpstr>
      <vt:lpstr>Achat_2_v2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Bernard</dc:creator>
  <cp:lastModifiedBy>Ronan Bernard</cp:lastModifiedBy>
  <dcterms:created xsi:type="dcterms:W3CDTF">2025-10-19T08:04:38Z</dcterms:created>
  <dcterms:modified xsi:type="dcterms:W3CDTF">2025-11-10T15:10:28Z</dcterms:modified>
</cp:coreProperties>
</file>